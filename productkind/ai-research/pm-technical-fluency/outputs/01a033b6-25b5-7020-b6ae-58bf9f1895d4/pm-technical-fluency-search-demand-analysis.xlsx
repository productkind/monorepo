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4c41f86cd342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2aad6b6ac7364c08"/>
    <x:sheet xmlns:r="http://schemas.openxmlformats.org/officeDocument/2006/relationships" name="Clean Keywords" sheetId="2" r:id="R6030a2d7caa043b3"/>
    <x:sheet xmlns:r="http://schemas.openxmlformats.org/officeDocument/2006/relationships" name="Intent Families" sheetId="3" r:id="Ra06b4fa6a7ee41ef"/>
    <x:sheet xmlns:r="http://schemas.openxmlformats.org/officeDocument/2006/relationships" name="Need Summary" sheetId="4" r:id="R66b861ca9c1a4fe8"/>
    <x:sheet xmlns:r="http://schemas.openxmlformats.org/officeDocument/2006/relationships" name="SERP Evidence" sheetId="5" r:id="R19cf718a53864942"/>
    <x:sheet xmlns:r="http://schemas.openxmlformats.org/officeDocument/2006/relationships" name="Trends Shortlist" sheetId="6" r:id="R224670a3ed1247b7"/>
    <x:sheet xmlns:r="http://schemas.openxmlformats.org/officeDocument/2006/relationships" name="Exclusions" sheetId="7" r:id="R601e7f48dbda492a"/>
    <x:sheet xmlns:r="http://schemas.openxmlformats.org/officeDocument/2006/relationships" name="Raw A Seeds" sheetId="8" r:id="R36c080b87e81493c"/>
    <x:sheet xmlns:r="http://schemas.openxmlformats.org/officeDocument/2006/relationships" name="Raw B Related" sheetId="9" r:id="Rd45f9ecbb3f74d38"/>
    <x:sheet xmlns:r="http://schemas.openxmlformats.org/officeDocument/2006/relationships" name="Raw C SERPs" sheetId="10" r:id="Rcc7e48be37a149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$0.00"/>
    <x:numFmt numFmtId="202" formatCode="0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24D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sz val="9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0F7"/>
      </x:patternFill>
    </x:fill>
    <x:fill>
      <x:patternFill patternType="solid">
        <x:fgColor rgb="FF2A5D7C"/>
      </x:patternFill>
    </x:fill>
    <x:fill>
      <x:patternFill patternType="solid">
        <x:fgColor rgb="FFF7FAFC"/>
      </x:patternFill>
    </x:fill>
  </x:fills>
  <x:borders count="15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DE5EC"/>
      </x:bottom>
    </x:border>
    <x:border>
      <x:top style="thin">
        <x:color rgb="FFDDE5EC"/>
      </x:top>
      <x:bottom style="thin">
        <x:color rgb="FFDDE5EC"/>
      </x:bottom>
    </x:border>
    <x:border>
      <x:top style="thin">
        <x:color rgb="FFDDE5EC"/>
      </x:top>
    </x:border>
    <x:border>
      <x:top style="thin">
        <x:color rgb="FF17324D"/>
      </x:top>
      <x:bottom style="thin">
        <x:color rgb="FF17324D"/>
      </x:bottom>
    </x:border>
    <x:border>
      <x:left style="thin">
        <x:color rgb="FFA8B8C6"/>
      </x:left>
      <x:top style="thin">
        <x:color rgb="FFA8B8C6"/>
      </x:top>
    </x:border>
    <x:border>
      <x:top style="thin">
        <x:color rgb="FFA8B8C6"/>
      </x:top>
    </x:border>
    <x:border>
      <x:right style="thin">
        <x:color rgb="FFA8B8C6"/>
      </x:right>
      <x:top style="thin">
        <x:color rgb="FFA8B8C6"/>
      </x:top>
    </x:border>
    <x:border>
      <x:left style="thin">
        <x:color rgb="FFA8B8C6"/>
      </x:left>
    </x:border>
    <x:border>
      <x:right style="thin">
        <x:color rgb="FFA8B8C6"/>
      </x:right>
    </x:border>
    <x:border>
      <x:left style="thin">
        <x:color rgb="FFA8B8C6"/>
      </x:left>
      <x:bottom style="thin">
        <x:color rgb="FFA8B8C6"/>
      </x:bottom>
    </x:border>
    <x:border>
      <x:bottom style="thin">
        <x:color rgb="FFA8B8C6"/>
      </x:bottom>
    </x:border>
    <x:border>
      <x:right style="thin">
        <x:color rgb="FFA8B8C6"/>
      </x:right>
      <x:bottom style="thin">
        <x:color rgb="FFA8B8C6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3" xfId="0" applyNumberFormat="1" applyFont="1" applyFill="1" applyBorder="1"/>
    <x:xf numFmtId="200" fontId="0" fillId="0" borderId="4" xfId="0" applyNumberFormat="1" applyFont="1" applyFill="1" applyBorder="1"/>
    <x:xf numFmtId="200" fontId="0" fillId="0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6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0" fontId="4" fillId="5" borderId="14" xfId="0" applyNumberFormat="1" applyFont="1" applyFill="1" applyBorder="1"/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wrapText="1"/>
    </x:xf>
    <x:xf numFmtId="0" fontId="4" fillId="5" borderId="13" xfId="0" applyNumberFormat="1" applyFont="1" applyFill="1" applyBorder="1" applyAlignment="1">
      <x:alignment wrapText="1"/>
    </x:xf>
    <x:xf numFmtId="0" fontId="4" fillId="5" borderId="14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  <x:xf numFmtId="0" fontId="4" fillId="5" borderId="1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12" xfId="0" applyNumberFormat="1" applyFont="1" applyFill="1" applyBorder="1" applyAlignment="1">
      <x:alignment vertical="top" wrapText="1"/>
    </x:xf>
    <x:xf numFmtId="0" fontId="4" fillId="5" borderId="13" xfId="0" applyNumberFormat="1" applyFont="1" applyFill="1" applyBorder="1" applyAlignment="1">
      <x:alignment vertical="top" wrapText="1"/>
    </x:xf>
    <x:xf numFmtId="0" fontId="4" fillId="5" borderId="14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3" xfId="0" applyNumberFormat="1" applyFont="1" applyFill="1" applyBorder="1" applyAlignment="1">
      <x:alignment vertical="top"/>
    </x:xf>
    <x:xf numFmtId="0" fontId="5" fillId="0" borderId="4" xfId="0" applyNumberFormat="1" applyFont="1" applyFill="1" applyBorder="1" applyAlignment="1">
      <x:alignment vertical="top"/>
    </x:xf>
    <x:xf numFmtId="200" fontId="5" fillId="0" borderId="3" xfId="0" applyNumberFormat="1" applyFont="1" applyFill="1" applyBorder="1" applyAlignment="1">
      <x:alignment vertical="top"/>
    </x:xf>
    <x:xf numFmtId="200" fontId="5" fillId="0" borderId="4" xfId="0" applyNumberFormat="1" applyFont="1" applyFill="1" applyBorder="1" applyAlignment="1">
      <x:alignment vertical="top"/>
    </x:xf>
    <x:xf numFmtId="201" fontId="5" fillId="0" borderId="3" xfId="0" applyNumberFormat="1" applyFont="1" applyFill="1" applyBorder="1" applyAlignment="1">
      <x:alignment vertical="top"/>
    </x:xf>
    <x:xf numFmtId="201" fontId="5" fillId="0" borderId="4" xfId="0" applyNumberFormat="1" applyFont="1" applyFill="1" applyBorder="1" applyAlignment="1">
      <x:alignment vertical="top"/>
    </x:xf>
    <x:xf numFmtId="202" fontId="5" fillId="0" borderId="3" xfId="0" applyNumberFormat="1" applyFont="1" applyFill="1" applyBorder="1" applyAlignment="1">
      <x:alignment vertical="top"/>
    </x:xf>
    <x:xf numFmtId="202" fontId="5" fillId="0" borderId="4" xfId="0" applyNumberFormat="1" applyFont="1" applyFill="1" applyBorder="1" applyAlignment="1">
      <x:alignment vertical="top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200" fontId="5" fillId="0" borderId="3" xfId="0" applyNumberFormat="1" applyFont="1" applyFill="1" applyBorder="1" applyAlignment="1">
      <x:alignment vertical="top" wrapText="1"/>
    </x:xf>
    <x:xf numFmtId="200" fontId="5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color rgb="FF9B1C1C"/>
      </x:font>
      <x:fill>
        <x:patternFill patternType="solid">
          <x:bgColor rgb="FFFDE8E7"/>
        </x:patternFill>
      </x:fill>
    </x:dxf>
    <x:dxf>
      <x:font>
        <x:color rgb="FF176B3A"/>
      </x:font>
      <x:fill>
        <x:patternFill patternType="solid">
          <x:bgColor rgb="FFE8F5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f29cdc088b4b86" /><Relationship Type="http://schemas.openxmlformats.org/officeDocument/2006/relationships/theme" Target="/xl/theme/theme1.xml" Id="Rcdb261f6abe741f0" /><Relationship Type="http://schemas.openxmlformats.org/officeDocument/2006/relationships/sharedStrings" Target="/xl/sharedStrings.xml" Id="R4fca2c39284e45e2" /><Relationship Type="http://schemas.openxmlformats.org/officeDocument/2006/relationships/worksheet" Target="/xl/worksheets/sheet1.xml" Id="R2aad6b6ac7364c08" /><Relationship Type="http://schemas.openxmlformats.org/officeDocument/2006/relationships/worksheet" Target="/xl/worksheets/sheet2.xml" Id="R6030a2d7caa043b3" /><Relationship Type="http://schemas.openxmlformats.org/officeDocument/2006/relationships/worksheet" Target="/xl/worksheets/sheet3.xml" Id="Ra06b4fa6a7ee41ef" /><Relationship Type="http://schemas.openxmlformats.org/officeDocument/2006/relationships/worksheet" Target="/xl/worksheets/sheet4.xml" Id="R66b861ca9c1a4fe8" /><Relationship Type="http://schemas.openxmlformats.org/officeDocument/2006/relationships/worksheet" Target="/xl/worksheets/sheet5.xml" Id="R19cf718a53864942" /><Relationship Type="http://schemas.openxmlformats.org/officeDocument/2006/relationships/worksheet" Target="/xl/worksheets/sheet6.xml" Id="R224670a3ed1247b7" /><Relationship Type="http://schemas.openxmlformats.org/officeDocument/2006/relationships/worksheet" Target="/xl/worksheets/sheet7.xml" Id="R601e7f48dbda492a" /><Relationship Type="http://schemas.openxmlformats.org/officeDocument/2006/relationships/worksheet" Target="/xl/worksheets/sheet8.xml" Id="R36c080b87e81493c" /><Relationship Type="http://schemas.openxmlformats.org/officeDocument/2006/relationships/worksheet" Target="/xl/worksheets/sheet9.xml" Id="Rd45f9ecbb3f74d38" /><Relationship Type="http://schemas.openxmlformats.org/officeDocument/2006/relationships/worksheet" Target="/xl/worksheets/sheet10.xml" Id="Rcc7e48be37a1494d" /></Relationships>
</file>

<file path=xl/tables/table1.xml><?xml version="1.0" encoding="utf-8"?>
<x:table xmlns:x="http://schemas.openxmlformats.org/spreadsheetml/2006/main" id="1" name="CleanKeywordsTable" displayName="CleanKeywordsTable" ref="A3:S209" headerRowCount="1" totalsRowCount="0" totalsRowShown="0">
  <x:tableColumns count="19">
    <x:tableColumn id="1" name="Keyword"/>
    <x:tableColumn id="2" name="Need cluster"/>
    <x:tableColumn id="3" name="Search-intent family"/>
    <x:tableColumn id="4" name="US volume"/>
    <x:tableColumn id="5" name="UK volume"/>
    <x:tableColumn id="6" name="CPC US"/>
    <x:tableColumn id="7" name="CPC UK"/>
    <x:tableColumn id="8" name="KDI US"/>
    <x:tableColumn id="9" name="KDI UK"/>
    <x:tableColumn id="10" name="Audience fit"/>
    <x:tableColumn id="11" name="Audience-fit basis"/>
    <x:tableColumn id="12" name="Keyword type"/>
    <x:tableColumn id="13" name="Include/exclude"/>
    <x:tableColumn id="14" name="Reason"/>
    <x:tableColumn id="15" name="Source dataset"/>
    <x:tableColumn id="16" name="Source seed(s)"/>
    <x:tableColumn id="17" name="Relationship type"/>
    <x:tableColumn id="18" name="US data status"/>
    <x:tableColumn id="19" name="UK data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tentFamiliesTable" displayName="IntentFamiliesTable" ref="A3:Q37" headerRowCount="1" totalsRowCount="0" totalsRowShown="0">
  <x:tableColumns count="17">
    <x:tableColumn id="1" name="Need cluster"/>
    <x:tableColumn id="2" name="Search-intent family"/>
    <x:tableColumn id="3" name="Included keywords"/>
    <x:tableColumn id="4" name="Exact queries"/>
    <x:tableColumn id="5" name="US exact &gt;0"/>
    <x:tableColumn id="6" name="UK exact &gt;0"/>
    <x:tableColumn id="7" name="Largest exact US"/>
    <x:tableColumn id="8" name="Representative exact US"/>
    <x:tableColumn id="9" name="Largest exact UK"/>
    <x:tableColumn id="10" name="Representative exact UK"/>
    <x:tableColumn id="11" name="Largest broad US"/>
    <x:tableColumn id="12" name="Representative broad US"/>
    <x:tableColumn id="13" name="Largest broad UK"/>
    <x:tableColumn id="14" name="Representative broad UK"/>
    <x:tableColumn id="15" name="Largest specific US"/>
    <x:tableColumn id="16" name="Representative specific US"/>
    <x:tableColumn id="17" name="Overlap contro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eedSummaryTable" displayName="NeedSummaryTable" ref="A3:P9" headerRowCount="1" totalsRowCount="0" totalsRowShown="0">
  <x:tableColumns count="16">
    <x:tableColumn id="1" name="Validated PM need"/>
    <x:tableColumn id="2" name="Original PM evidence"/>
    <x:tableColumn id="3" name="Result-audience evidence"/>
    <x:tableColumn id="4" name="Included keywords"/>
    <x:tableColumn id="5" name="Intent families"/>
    <x:tableColumn id="6" name="Largest exact US"/>
    <x:tableColumn id="7" name="Exact US term"/>
    <x:tableColumn id="8" name="Largest exact UK"/>
    <x:tableColumn id="9" name="Exact UK term"/>
    <x:tableColumn id="10" name="Largest broad US"/>
    <x:tableColumn id="11" name="Broad US term"/>
    <x:tableColumn id="12" name="Largest broad UK"/>
    <x:tableColumn id="13" name="Broad UK term"/>
    <x:tableColumn id="14" name="Demand pattern"/>
    <x:tableColumn id="15" name="Defensible interpretation"/>
    <x:tableColumn id="16" name="Important cavea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rpEvidenceTable" displayName="SerpEvidenceTable" ref="A3:E13" headerRowCount="1" totalsRowCount="0" totalsRowShown="0">
  <x:tableColumns count="5">
    <x:tableColumn id="1" name="Seed keyword"/>
    <x:tableColumn id="2" name="Need cluster"/>
    <x:tableColumn id="3" name="US results returned"/>
    <x:tableColumn id="4" name="Result-audience assessment"/>
    <x:tableColumn id="5" name="Evidence and cavea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rendsShortlistTable" displayName="TrendsShortlistTable" ref="A3:C28" headerRowCount="1" totalsRowCount="0" totalsRowShown="0">
  <x:tableColumns count="3">
    <x:tableColumn id="1" name="Term or concept"/>
    <x:tableColumn id="2" name="Need cluster"/>
    <x:tableColumn id="3" name="Why Trends would help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xclusionsTable" displayName="ExclusionsTable" ref="A3:F54" headerRowCount="1" totalsRowCount="0" totalsRowShown="0">
  <x:tableColumns count="6">
    <x:tableColumn id="1" name="Keyword"/>
    <x:tableColumn id="2" name="Source seed(s)"/>
    <x:tableColumn id="3" name="US volume"/>
    <x:tableColumn id="4" name="UK volume"/>
    <x:tableColumn id="5" name="Audience fit"/>
    <x:tableColumn id="6" name="Reason for exclus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awSeedsTable" displayName="RawSeedsTable" ref="A3:I115" headerRowCount="1" totalsRowCount="0" totalsRowShown="0">
  <x:tableColumns count="9">
    <x:tableColumn id="1" name="seed_keyword"/>
    <x:tableColumn id="2" name="country"/>
    <x:tableColumn id="3" name="volume"/>
    <x:tableColumn id="4" name="KDI"/>
    <x:tableColumn id="5" name="CPC"/>
    <x:tableColumn id="6" name="competition"/>
    <x:tableColumn id="7" name="intent"/>
    <x:tableColumn id="8" name="trend/history"/>
    <x:tableColumn id="9" name="data_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awRelatedTable" displayName="RawRelatedTable" ref="A3:M153" headerRowCount="1" totalsRowCount="0" totalsRowShown="0">
  <x:tableColumns count="13">
    <x:tableColumn id="1" name="keyword"/>
    <x:tableColumn id="2" name="source_seeds"/>
    <x:tableColumn id="3" name="relationship_type"/>
    <x:tableColumn id="4" name="US_volume"/>
    <x:tableColumn id="5" name="UK_volume"/>
    <x:tableColumn id="6" name="KDI_US"/>
    <x:tableColumn id="7" name="KDI_UK"/>
    <x:tableColumn id="8" name="CPC_US"/>
    <x:tableColumn id="9" name="CPC_UK"/>
    <x:tableColumn id="10" name="competition_US"/>
    <x:tableColumn id="11" name="competition_UK"/>
    <x:tableColumn id="12" name="intent"/>
    <x:tableColumn id="13" name="trend/history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awSerpsTable" displayName="RawSerpsTable" ref="A3:F103" headerRowCount="1" totalsRowCount="0" totalsRowShown="0">
  <x:tableColumns count="6">
    <x:tableColumn id="1" name="seed_keyword"/>
    <x:tableColumn id="2" name="position"/>
    <x:tableColumn id="3" name="title"/>
    <x:tableColumn id="4" name="URL"/>
    <x:tableColumn id="5" name="domain"/>
    <x:tableColumn id="6" name="SERP_featur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28210f1881946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a99338afb044b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d65295a88e144b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8d97d2676ee4ae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0fd32b681234cd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33a7fdeef26423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6d48e8d7fbf4b4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a3205eba071452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d558f28fe3a449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3" t="str">
        <x:v>PM technical-fluency search demand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Analysis of supplied qualitative research and Semrush exports only — no new research or Trends run.</x:v>
      </x:c>
      <x:c r="B2" s="7"/>
      <x:c r="C2" s="7"/>
      <x:c r="D2" s="7"/>
      <x:c r="E2" s="7"/>
      <x:c r="F2" s="7"/>
      <x:c r="G2" s="7"/>
      <x:c r="H2" s="7"/>
    </x:row>
    <x:row r="4" ht="34" customHeight="1">
      <x:c r="A4" s="14" t="str">
        <x:v>Metric</x:v>
      </x:c>
      <x:c r="B4" s="15" t="str">
        <x:v>Value</x:v>
      </x:c>
      <x:c r="D4" s="14" t="str">
        <x:v>Evidence and aggregation rules</x:v>
      </x:c>
      <x:c r="E4" s="24"/>
      <x:c r="F4" s="24"/>
      <x:c r="G4" s="24"/>
      <x:c r="H4" s="15"/>
    </x:row>
    <x:row r="5">
      <x:c r="A5" s="16" t="str">
        <x:v>Source keywords</x:v>
      </x:c>
      <x:c r="B5" s="19" t="n">
        <x:f>COUNTA('Clean Keywords'!$A$4:$A$209)</x:f>
        <x:v>206</x:v>
      </x:c>
      <x:c r="D5" s="44" t="str">
        <x:v>• 0 volume is retained and is distinct from a missing Semrush row.</x:v>
      </x:c>
      <x:c r="E5" s="45"/>
      <x:c r="F5" s="45"/>
      <x:c r="G5" s="45"/>
      <x:c r="H5" s="46"/>
    </x:row>
    <x:row r="6">
      <x:c r="A6" s="17" t="str">
        <x:v>Included</x:v>
      </x:c>
      <x:c r="B6" s="20" t="n">
        <x:f>COUNTIF('Clean Keywords'!$M$4:$M$209,"Include")</x:f>
        <x:v>155</x:v>
      </x:c>
      <x:c r="D6" s="47" t="str">
        <x:v>• Every Dataset B keyword is present in Clean Keywords, including exclusions.</x:v>
      </x:c>
      <x:c r="E6" s="48"/>
      <x:c r="F6" s="48"/>
      <x:c r="G6" s="48"/>
      <x:c r="H6" s="49"/>
    </x:row>
    <x:row r="7">
      <x:c r="A7" s="17" t="str">
        <x:v>Excluded</x:v>
      </x:c>
      <x:c r="B7" s="20" t="n">
        <x:f>COUNTIF('Clean Keywords'!$M$4:$M$209,"Exclude")</x:f>
        <x:v>51</x:v>
      </x:c>
      <x:c r="D7" s="47" t="str">
        <x:v>• Exact learning queries, specific concepts and broad categories remain separate.</x:v>
      </x:c>
      <x:c r="E7" s="48"/>
      <x:c r="F7" s="48"/>
      <x:c r="G7" s="48"/>
      <x:c r="H7" s="49"/>
    </x:row>
    <x:row r="8">
      <x:c r="A8" s="17" t="str">
        <x:v>Intent families</x:v>
      </x:c>
      <x:c r="B8" s="20" t="n">
        <x:f>COUNTA('Intent Families'!$B$4:$B$37)</x:f>
        <x:v>34</x:v>
      </x:c>
      <x:c r="D8" s="47" t="str">
        <x:v>• Intent-family variants are never summed as independent demand pools.</x:v>
      </x:c>
      <x:c r="E8" s="48"/>
      <x:c r="F8" s="48"/>
      <x:c r="G8" s="48"/>
      <x:c r="H8" s="49"/>
    </x:row>
    <x:row r="9">
      <x:c r="A9" s="18" t="str">
        <x:v>Validated PM needs</x:v>
      </x:c>
      <x:c r="B9" s="21" t="n">
        <x:v>6</x:v>
      </x:c>
      <x:c r="D9" s="47" t="str">
        <x:v>• Family and need summaries show the largest individual variants, not additive totals.</x:v>
      </x:c>
      <x:c r="E9" s="48"/>
      <x:c r="F9" s="48"/>
      <x:c r="G9" s="48"/>
      <x:c r="H9" s="49"/>
    </x:row>
    <x:row r="10">
      <x:c r="D10" s="50" t="str">
        <x:v>• Audience-fit scores are carried forward where available; otherwise they are labelled analyst review.</x:v>
      </x:c>
      <x:c r="E10" s="51"/>
      <x:c r="F10" s="51"/>
      <x:c r="G10" s="51"/>
      <x:c r="H10" s="52"/>
    </x:row>
    <x:row r="12" ht="34" customHeight="1">
      <x:c r="A12" s="14" t="str">
        <x:v>Sources (all supplied; Semrush retrieval date 2026-08-24 UTC)</x:v>
      </x:c>
      <x:c r="B12" s="24"/>
      <x:c r="C12" s="24"/>
      <x:c r="D12" s="24"/>
      <x:c r="E12" s="24"/>
      <x:c r="F12" s="24"/>
      <x:c r="G12" s="24"/>
      <x:c r="H12" s="15"/>
    </x:row>
    <x:row r="13">
      <x:c r="A13" s="48" t="str">
        <x:v>Dataset A: semrush-dataset-a-seed-keywords.md — US and UK seed metrics</x:v>
      </x:c>
      <x:c r="B13" s="48"/>
      <x:c r="C13" s="48"/>
      <x:c r="D13" s="48"/>
      <x:c r="E13" s="48"/>
      <x:c r="F13" s="48"/>
      <x:c r="G13" s="48"/>
      <x:c r="H13" s="48"/>
    </x:row>
    <x:row r="14">
      <x:c r="A14" s="48" t="str">
        <x:v>Dataset B: semrush-dataset-b-related-keywords.md — US discovery and US/UK metrics</x:v>
      </x:c>
      <x:c r="B14" s="48"/>
      <x:c r="C14" s="48"/>
      <x:c r="D14" s="48"/>
      <x:c r="E14" s="48"/>
      <x:c r="F14" s="48"/>
      <x:c r="G14" s="48"/>
      <x:c r="H14" s="48"/>
    </x:row>
    <x:row r="15">
      <x:c r="A15" s="48" t="str">
        <x:v>Dataset C: semrush-dataset-c-seed-serps.md — US top-ten SERPs for ten seeds</x:v>
      </x:c>
      <x:c r="B15" s="48"/>
      <x:c r="C15" s="48"/>
      <x:c r="D15" s="48"/>
      <x:c r="E15" s="48"/>
      <x:c r="F15" s="48"/>
      <x:c r="G15" s="48"/>
      <x:c r="H15" s="48"/>
    </x:row>
    <x:row r="16">
      <x:c r="A16" s="48" t="str">
        <x:v>Qualitative: non-technical-pm-technical-needs-2024-2026.md</x:v>
      </x:c>
      <x:c r="B16" s="48"/>
      <x:c r="C16" s="48"/>
      <x:c r="D16" s="48"/>
      <x:c r="E16" s="48"/>
      <x:c r="F16" s="48"/>
      <x:c r="G16" s="48"/>
      <x:c r="H16" s="48"/>
    </x:row>
    <x:row r="17">
      <x:c r="A17" s="48" t="str">
        <x:v>Validation: non-technical-pm-technical-needs-validation-2026-08.md</x:v>
      </x:c>
      <x:c r="B17" s="48"/>
      <x:c r="C17" s="48"/>
      <x:c r="D17" s="48"/>
      <x:c r="E17" s="48"/>
      <x:c r="F17" s="48"/>
      <x:c r="G17" s="48"/>
      <x:c r="H17" s="48"/>
    </x:row>
    <x:row r="18">
      <x:c r="A18" s="48" t="str">
        <x:v>Audience fit: pm-technical-fluency-observed-search-phrases-2026-08.md</x:v>
      </x:c>
      <x:c r="B18" s="48"/>
      <x:c r="C18" s="48"/>
      <x:c r="D18" s="48"/>
      <x:c r="E18" s="48"/>
      <x:c r="F18" s="48"/>
      <x:c r="G18" s="48"/>
      <x:c r="H18" s="48"/>
    </x:row>
  </x:sheetData>
  <x:mergeCells>
    <x:mergeCell ref="A1:H1"/>
    <x:mergeCell ref="A2:H2"/>
    <x:mergeCell ref="D4:H4"/>
    <x:mergeCell ref="D5:H5"/>
    <x:mergeCell ref="D6:H6"/>
    <x:mergeCell ref="D7:H7"/>
    <x:mergeCell ref="D8:H8"/>
    <x:mergeCell ref="D9:H9"/>
    <x:mergeCell ref="D10:H10"/>
    <x:mergeCell ref="A12:H12"/>
    <x:mergeCell ref="A13:H13"/>
    <x:mergeCell ref="A14:H14"/>
    <x:mergeCell ref="A15:H15"/>
    <x:mergeCell ref="A16:H16"/>
    <x:mergeCell ref="A17:H17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1" hidden="0" customWidth="1"/>
    <x:col min="5" max="5" width="11" hidden="0" customWidth="1"/>
    <x:col min="6" max="6" width="10" hidden="0" customWidth="1"/>
    <x:col min="7" max="7" width="10" hidden="0" customWidth="1"/>
    <x:col min="8" max="8" width="9" hidden="0" customWidth="1"/>
    <x:col min="9" max="9" width="9" hidden="0" customWidth="1"/>
    <x:col min="10" max="10" width="10" hidden="0" customWidth="1"/>
    <x:col min="11" max="11" width="28" hidden="0" customWidth="1"/>
    <x:col min="12" max="12" width="20" hidden="0" customWidth="1"/>
    <x:col min="13" max="13" width="14" hidden="0" customWidth="1"/>
    <x:col min="14" max="14" width="46" hidden="0" customWidth="1"/>
    <x:col min="15" max="15" width="19" hidden="0" customWidth="1"/>
    <x:col min="16" max="16" width="30" hidden="0" customWidth="1"/>
    <x:col min="17" max="17" width="18" hidden="0" customWidth="1"/>
    <x:col min="18" max="18" width="15" hidden="0" customWidth="1"/>
    <x:col min="19" max="19" width="15" hidden="0" customWidth="1"/>
  </x:cols>
  <x:sheetData>
    <x:row r="1" ht="32" customHeight="1">
      <x:c r="A1" s="3" t="str">
        <x:v>Clean keyword dataset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0" customHeight="1">
      <x:c r="A2" s="7" t="str">
        <x:v>All 206 supplied seed and discovered keywords; filters preserve exclusions and row-level metrics.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3" ht="34" customHeight="1">
      <x:c r="A3" s="14" t="str">
        <x:v>Keyword</x:v>
      </x:c>
      <x:c r="B3" s="24" t="str">
        <x:v>Need cluster</x:v>
      </x:c>
      <x:c r="C3" s="24" t="str">
        <x:v>Search-intent family</x:v>
      </x:c>
      <x:c r="D3" s="24" t="str">
        <x:v>US volume</x:v>
      </x:c>
      <x:c r="E3" s="24" t="str">
        <x:v>UK volume</x:v>
      </x:c>
      <x:c r="F3" s="24" t="str">
        <x:v>CPC US</x:v>
      </x:c>
      <x:c r="G3" s="24" t="str">
        <x:v>CPC UK</x:v>
      </x:c>
      <x:c r="H3" s="24" t="str">
        <x:v>KDI US</x:v>
      </x:c>
      <x:c r="I3" s="24" t="str">
        <x:v>KDI UK</x:v>
      </x:c>
      <x:c r="J3" s="24" t="str">
        <x:v>Audience fit</x:v>
      </x:c>
      <x:c r="K3" s="24" t="str">
        <x:v>Audience-fit basis</x:v>
      </x:c>
      <x:c r="L3" s="24" t="str">
        <x:v>Keyword type</x:v>
      </x:c>
      <x:c r="M3" s="24" t="str">
        <x:v>Include/exclude</x:v>
      </x:c>
      <x:c r="N3" s="24" t="str">
        <x:v>Reason</x:v>
      </x:c>
      <x:c r="O3" s="24" t="str">
        <x:v>Source dataset</x:v>
      </x:c>
      <x:c r="P3" s="24" t="str">
        <x:v>Source seed(s)</x:v>
      </x:c>
      <x:c r="Q3" s="24" t="str">
        <x:v>Relationship type</x:v>
      </x:c>
      <x:c r="R3" s="24" t="str">
        <x:v>US data status</x:v>
      </x:c>
      <x:c r="S3" s="15" t="str">
        <x:v>UK data status</x:v>
      </x:c>
    </x:row>
    <x:row r="4">
      <x:c r="A4" s="64" t="str">
        <x:v>what happens when you type a url in the browser</x:v>
      </x:c>
      <x:c r="B4" s="64" t="str">
        <x:v>Software product/system mental model</x:v>
      </x:c>
      <x:c r="C4" s="64" t="str">
        <x:v>Browser-to-server request flow</x:v>
      </x:c>
      <x:c r="D4" s="58" t="n">
        <x:v>40</x:v>
      </x:c>
      <x:c r="E4" s="58" t="n">
        <x:v>20</x:v>
      </x:c>
      <x:c r="F4" s="60" t="n">
        <x:v>0</x:v>
      </x:c>
      <x:c r="G4" s="60" t="n">
        <x:v>0</x:v>
      </x:c>
      <x:c r="H4" s="62" t="n">
        <x:v>0</x:v>
      </x:c>
      <x:c r="I4" s="62" t="n">
        <x:v>0</x:v>
      </x:c>
      <x:c r="J4" s="62" t="n">
        <x:v>3</x:v>
      </x:c>
      <x:c r="K4" s="64" t="str">
        <x:v>Carried forward from search-language research (Google autocomplete (GB))</x:v>
      </x:c>
      <x:c r="L4" s="64" t="str">
        <x:v>Exact learning query</x:v>
      </x:c>
      <x:c r="M4" s="64" t="str">
        <x:v>Include</x:v>
      </x:c>
      <x:c r="N4" s="64" t="str">
        <x:v>Relevant observed learning phrase mapped to a validated PM need.</x:v>
      </x:c>
      <x:c r="O4" s="64" t="str">
        <x:v>A — observed seed</x:v>
      </x:c>
      <x:c r="P4" s="64" t="str">
        <x:v>what happens when you type a url in the browser</x:v>
      </x:c>
      <x:c r="Q4" s="64" t="str">
        <x:v>Observed search-language seed</x:v>
      </x:c>
      <x:c r="R4" s="64" t="str">
        <x:v>Returned</x:v>
      </x:c>
      <x:c r="S4" s="64" t="str">
        <x:v>Returned</x:v>
      </x:c>
    </x:row>
    <x:row r="5">
      <x:c r="A5" s="65" t="str">
        <x:v>can i update backend database with frontend database is used</x:v>
      </x:c>
      <x:c r="B5" s="65" t="str">
        <x:v>Software product/system mental model</x:v>
      </x:c>
      <x:c r="C5" s="65" t="str">
        <x:v>Frontend/backend/database roles</x:v>
      </x:c>
      <x:c r="D5" s="59" t="n">
        <x:v>0</x:v>
      </x:c>
      <x:c r="E5" s="59"/>
      <x:c r="F5" s="61" t="n">
        <x:v>0</x:v>
      </x:c>
      <x:c r="G5" s="61"/>
      <x:c r="H5" s="63"/>
      <x:c r="I5" s="63"/>
      <x:c r="J5" s="63" t="n">
        <x:v>1</x:v>
      </x:c>
      <x:c r="K5" s="65" t="str">
        <x:v>Analyst review of wording, validated scope and supplied SERP context</x:v>
      </x:c>
      <x:c r="L5" s="65" t="str">
        <x:v>Excluded</x:v>
      </x:c>
      <x:c r="M5" s="65" t="str">
        <x:v>Exclude</x:v>
      </x:c>
      <x:c r="N5" s="65" t="str">
        <x:v>Malformed developer implementation query; outside the generalist-PM scope.</x:v>
      </x:c>
      <x:c r="O5" s="65" t="str">
        <x:v>B — related/discovered</x:v>
      </x:c>
      <x:c r="P5" s="65" t="str">
        <x:v>frontend backend database</x:v>
      </x:c>
      <x:c r="Q5" s="65" t="str">
        <x:v>question</x:v>
      </x:c>
      <x:c r="R5" s="65" t="str">
        <x:v>Returned</x:v>
      </x:c>
      <x:c r="S5" s="65" t="str">
        <x:v>No row returned</x:v>
      </x:c>
    </x:row>
    <x:row r="6">
      <x:c r="A6" s="65" t="str">
        <x:v>how to split access database into frontend and backend</x:v>
      </x:c>
      <x:c r="B6" s="65" t="str">
        <x:v>Software product/system mental model</x:v>
      </x:c>
      <x:c r="C6" s="65" t="str">
        <x:v>Frontend/backend/database roles</x:v>
      </x:c>
      <x:c r="D6" s="59" t="n">
        <x:v>0</x:v>
      </x:c>
      <x:c r="E6" s="59"/>
      <x:c r="F6" s="61" t="n">
        <x:v>0</x:v>
      </x:c>
      <x:c r="G6" s="61"/>
      <x:c r="H6" s="63"/>
      <x:c r="I6" s="63"/>
      <x:c r="J6" s="63" t="n">
        <x:v>1</x:v>
      </x:c>
      <x:c r="K6" s="65" t="str">
        <x:v>Analyst review of wording, validated scope and supplied SERP context</x:v>
      </x:c>
      <x:c r="L6" s="65" t="str">
        <x:v>Excluded</x:v>
      </x:c>
      <x:c r="M6" s="65" t="str">
        <x:v>Exclude</x:v>
      </x:c>
      <x:c r="N6" s="65" t="str">
        <x:v>Microsoft Access administration/development query outside generalist PM fluency.</x:v>
      </x:c>
      <x:c r="O6" s="65" t="str">
        <x:v>B — related/discovered</x:v>
      </x:c>
      <x:c r="P6" s="65" t="str">
        <x:v>frontend backend database</x:v>
      </x:c>
      <x:c r="Q6" s="65" t="str">
        <x:v>question</x:v>
      </x:c>
      <x:c r="R6" s="65" t="str">
        <x:v>Returned</x:v>
      </x:c>
      <x:c r="S6" s="65" t="str">
        <x:v>No row returned</x:v>
      </x:c>
    </x:row>
    <x:row r="7">
      <x:c r="A7" s="65" t="str">
        <x:v>is better to have a separate backend and frontend databases</x:v>
      </x:c>
      <x:c r="B7" s="65" t="str">
        <x:v>Software product/system mental model</x:v>
      </x:c>
      <x:c r="C7" s="65" t="str">
        <x:v>Frontend/backend/database roles</x:v>
      </x:c>
      <x:c r="D7" s="59" t="n">
        <x:v>0</x:v>
      </x:c>
      <x:c r="E7" s="59"/>
      <x:c r="F7" s="61" t="n">
        <x:v>0</x:v>
      </x:c>
      <x:c r="G7" s="61"/>
      <x:c r="H7" s="63"/>
      <x:c r="I7" s="63"/>
      <x:c r="J7" s="63" t="n">
        <x:v>1</x:v>
      </x:c>
      <x:c r="K7" s="65" t="str">
        <x:v>Analyst review of wording, validated scope and supplied SERP context</x:v>
      </x:c>
      <x:c r="L7" s="65" t="str">
        <x:v>Excluded</x:v>
      </x:c>
      <x:c r="M7" s="65" t="str">
        <x:v>Exclude</x:v>
      </x:c>
      <x:c r="N7" s="65" t="str">
        <x:v>Specialist architecture-design decision aimed primarily at developers.</x:v>
      </x:c>
      <x:c r="O7" s="65" t="str">
        <x:v>B — related/discovered</x:v>
      </x:c>
      <x:c r="P7" s="65" t="str">
        <x:v>frontend backend database</x:v>
      </x:c>
      <x:c r="Q7" s="65" t="str">
        <x:v>question</x:v>
      </x:c>
      <x:c r="R7" s="65" t="str">
        <x:v>Returned</x:v>
      </x:c>
      <x:c r="S7" s="65" t="str">
        <x:v>No row returned</x:v>
      </x:c>
    </x:row>
    <x:row r="8">
      <x:c r="A8" s="65" t="str">
        <x:v>frontend backend database</x:v>
      </x:c>
      <x:c r="B8" s="65" t="str">
        <x:v>Software product/system mental model</x:v>
      </x:c>
      <x:c r="C8" s="65" t="str">
        <x:v>Frontend/backend/database roles</x:v>
      </x:c>
      <x:c r="D8" s="59" t="n">
        <x:v>20</x:v>
      </x:c>
      <x:c r="E8" s="59" t="n">
        <x:v>20</x:v>
      </x:c>
      <x:c r="F8" s="61" t="n">
        <x:v>0</x:v>
      </x:c>
      <x:c r="G8" s="61" t="n">
        <x:v>0</x:v>
      </x:c>
      <x:c r="H8" s="63" t="n">
        <x:v>0</x:v>
      </x:c>
      <x:c r="I8" s="63" t="n">
        <x:v>0</x:v>
      </x:c>
      <x:c r="J8" s="63" t="n">
        <x:v>3</x:v>
      </x:c>
      <x:c r="K8" s="65" t="str">
        <x:v>Carried forward from search-language research (Google + YouTube autocomplete)</x:v>
      </x:c>
      <x:c r="L8" s="65" t="str">
        <x:v>Specific concept term</x:v>
      </x:c>
      <x:c r="M8" s="65" t="str">
        <x:v>Include</x:v>
      </x:c>
      <x:c r="N8" s="65" t="str">
        <x:v>Relevant observed learning phrase mapped to a validated PM need.</x:v>
      </x:c>
      <x:c r="O8" s="65" t="str">
        <x:v>A — observed seed</x:v>
      </x:c>
      <x:c r="P8" s="65" t="str">
        <x:v>frontend backend database</x:v>
      </x:c>
      <x:c r="Q8" s="65" t="str">
        <x:v>Observed search-language seed</x:v>
      </x:c>
      <x:c r="R8" s="65" t="str">
        <x:v>Returned</x:v>
      </x:c>
      <x:c r="S8" s="65" t="str">
        <x:v>Returned</x:v>
      </x:c>
    </x:row>
    <x:row r="9">
      <x:c r="A9" s="65" t="str">
        <x:v>frontend backend database flow</x:v>
      </x:c>
      <x:c r="B9" s="65" t="str">
        <x:v>Software product/system mental model</x:v>
      </x:c>
      <x:c r="C9" s="65" t="str">
        <x:v>Frontend/backend/database roles</x:v>
      </x:c>
      <x:c r="D9" s="59"/>
      <x:c r="E9" s="59"/>
      <x:c r="F9" s="61"/>
      <x:c r="G9" s="61"/>
      <x:c r="H9" s="63"/>
      <x:c r="I9" s="63"/>
      <x:c r="J9" s="63" t="n">
        <x:v>3</x:v>
      </x:c>
      <x:c r="K9" s="65" t="str">
        <x:v>Carried forward from search-language research (Google autocomplete (GB))</x:v>
      </x:c>
      <x:c r="L9" s="65" t="str">
        <x:v>Specific concept term</x:v>
      </x:c>
      <x:c r="M9" s="65" t="str">
        <x:v>Include</x:v>
      </x:c>
      <x:c r="N9" s="65" t="str">
        <x:v>Relevant observed learning phrase; retained despite missing Semrush rows in both countries.</x:v>
      </x:c>
      <x:c r="O9" s="65" t="str">
        <x:v>A — observed seed</x:v>
      </x:c>
      <x:c r="P9" s="65" t="str">
        <x:v>frontend backend database flow</x:v>
      </x:c>
      <x:c r="Q9" s="65" t="str">
        <x:v>Observed search-language seed</x:v>
      </x:c>
      <x:c r="R9" s="65" t="str">
        <x:v>No row returned</x:v>
      </x:c>
      <x:c r="S9" s="65" t="str">
        <x:v>No row returned</x:v>
      </x:c>
    </x:row>
    <x:row r="10">
      <x:c r="A10" s="65" t="str">
        <x:v>frontend vs backend vs database</x:v>
      </x:c>
      <x:c r="B10" s="65" t="str">
        <x:v>Software product/system mental model</x:v>
      </x:c>
      <x:c r="C10" s="65" t="str">
        <x:v>Frontend/backend/database roles</x:v>
      </x:c>
      <x:c r="D10" s="59" t="n">
        <x:v>0</x:v>
      </x:c>
      <x:c r="E10" s="59"/>
      <x:c r="F10" s="61" t="n">
        <x:v>0</x:v>
      </x:c>
      <x:c r="G10" s="61"/>
      <x:c r="H10" s="63" t="n">
        <x:v>0</x:v>
      </x:c>
      <x:c r="I10" s="63"/>
      <x:c r="J10" s="63" t="n">
        <x:v>3</x:v>
      </x:c>
      <x:c r="K10" s="65" t="str">
        <x:v>Carried forward from search-language research (Google + YouTube autocomplete)</x:v>
      </x:c>
      <x:c r="L10" s="65" t="str">
        <x:v>Exact learning query</x:v>
      </x:c>
      <x:c r="M10" s="65" t="str">
        <x:v>Include</x:v>
      </x:c>
      <x:c r="N10" s="65" t="str">
        <x:v>Relevant observed learning phrase mapped to a validated PM need.</x:v>
      </x:c>
      <x:c r="O10" s="65" t="str">
        <x:v>A — observed seed</x:v>
      </x:c>
      <x:c r="P10" s="65" t="str">
        <x:v>frontend vs backend vs database</x:v>
      </x:c>
      <x:c r="Q10" s="65" t="str">
        <x:v>Observed search-language seed</x:v>
      </x:c>
      <x:c r="R10" s="65" t="str">
        <x:v>Returned</x:v>
      </x:c>
      <x:c r="S10" s="65" t="str">
        <x:v>No row returned</x:v>
      </x:c>
    </x:row>
    <x:row r="11">
      <x:c r="A11" s="65" t="str">
        <x:v>how does frontend backend and database work together</x:v>
      </x:c>
      <x:c r="B11" s="65" t="str">
        <x:v>Software product/system mental model</x:v>
      </x:c>
      <x:c r="C11" s="65" t="str">
        <x:v>Frontend/backend/database roles</x:v>
      </x:c>
      <x:c r="D11" s="59" t="n">
        <x:v>10</x:v>
      </x:c>
      <x:c r="E11" s="59"/>
      <x:c r="F11" s="61" t="n">
        <x:v>0</x:v>
      </x:c>
      <x:c r="G11" s="61"/>
      <x:c r="H11" s="63"/>
      <x:c r="I11" s="63"/>
      <x:c r="J11" s="63" t="n">
        <x:v>3</x:v>
      </x:c>
      <x:c r="K11" s="65" t="str">
        <x:v>Analyst review of wording, validated scope and supplied SERP context</x:v>
      </x:c>
      <x:c r="L11" s="65" t="str">
        <x:v>Exact learning query</x:v>
      </x:c>
      <x:c r="M11" s="65" t="str">
        <x:v>Include</x:v>
      </x:c>
      <x:c r="N11" s="65" t="str">
        <x:v>Relevant learning query mapped to a validated PM need.</x:v>
      </x:c>
      <x:c r="O11" s="65" t="str">
        <x:v>B — related/discovered</x:v>
      </x:c>
      <x:c r="P11" s="65" t="str">
        <x:v>frontend backend database</x:v>
      </x:c>
      <x:c r="Q11" s="65" t="str">
        <x:v>question</x:v>
      </x:c>
      <x:c r="R11" s="65" t="str">
        <x:v>Returned</x:v>
      </x:c>
      <x:c r="S11" s="65" t="str">
        <x:v>No row returned</x:v>
      </x:c>
    </x:row>
    <x:row r="12">
      <x:c r="A12" s="65" t="str">
        <x:v>is database backend or frontend</x:v>
      </x:c>
      <x:c r="B12" s="65" t="str">
        <x:v>Software product/system mental model</x:v>
      </x:c>
      <x:c r="C12" s="65" t="str">
        <x:v>Frontend/backend/database roles</x:v>
      </x:c>
      <x:c r="D12" s="59" t="n">
        <x:v>20</x:v>
      </x:c>
      <x:c r="E12" s="59" t="n">
        <x:v>10</x:v>
      </x:c>
      <x:c r="F12" s="61" t="n">
        <x:v>0</x:v>
      </x:c>
      <x:c r="G12" s="61" t="n">
        <x:v>0</x:v>
      </x:c>
      <x:c r="H12" s="63"/>
      <x:c r="I12" s="63" t="n">
        <x:v>0</x:v>
      </x:c>
      <x:c r="J12" s="63" t="n">
        <x:v>3</x:v>
      </x:c>
      <x:c r="K12" s="65" t="str">
        <x:v>Analyst review of wording, validated scope and supplied SERP context</x:v>
      </x:c>
      <x:c r="L12" s="65" t="str">
        <x:v>Exact learning query</x:v>
      </x:c>
      <x:c r="M12" s="65" t="str">
        <x:v>Include</x:v>
      </x:c>
      <x:c r="N12" s="65" t="str">
        <x:v>Relevant learning query mapped to a validated PM need.</x:v>
      </x:c>
      <x:c r="O12" s="65" t="str">
        <x:v>B — related/discovered</x:v>
      </x:c>
      <x:c r="P12" s="65" t="str">
        <x:v>frontend backend database</x:v>
      </x:c>
      <x:c r="Q12" s="65" t="str">
        <x:v>question</x:v>
      </x:c>
      <x:c r="R12" s="65" t="str">
        <x:v>Returned</x:v>
      </x:c>
      <x:c r="S12" s="65" t="str">
        <x:v>Returned</x:v>
      </x:c>
    </x:row>
    <x:row r="13">
      <x:c r="A13" s="65" t="str">
        <x:v>is database frontend or backend</x:v>
      </x:c>
      <x:c r="B13" s="65" t="str">
        <x:v>Software product/system mental model</x:v>
      </x:c>
      <x:c r="C13" s="65" t="str">
        <x:v>Frontend/backend/database roles</x:v>
      </x:c>
      <x:c r="D13" s="59" t="n">
        <x:v>20</x:v>
      </x:c>
      <x:c r="E13" s="59" t="n">
        <x:v>0</x:v>
      </x:c>
      <x:c r="F13" s="61" t="n">
        <x:v>0</x:v>
      </x:c>
      <x:c r="G13" s="61" t="n">
        <x:v>0</x:v>
      </x:c>
      <x:c r="H13" s="63"/>
      <x:c r="I13" s="63" t="n">
        <x:v>0</x:v>
      </x:c>
      <x:c r="J13" s="63" t="n">
        <x:v>3</x:v>
      </x:c>
      <x:c r="K13" s="65" t="str">
        <x:v>Analyst review of wording, validated scope and supplied SERP context</x:v>
      </x:c>
      <x:c r="L13" s="65" t="str">
        <x:v>Exact learning query</x:v>
      </x:c>
      <x:c r="M13" s="65" t="str">
        <x:v>Include</x:v>
      </x:c>
      <x:c r="N13" s="65" t="str">
        <x:v>Relevant learning query mapped to a validated PM need.</x:v>
      </x:c>
      <x:c r="O13" s="65" t="str">
        <x:v>B — related/discovered</x:v>
      </x:c>
      <x:c r="P13" s="65" t="str">
        <x:v>frontend backend database</x:v>
      </x:c>
      <x:c r="Q13" s="65" t="str">
        <x:v>question</x:v>
      </x:c>
      <x:c r="R13" s="65" t="str">
        <x:v>Returned</x:v>
      </x:c>
      <x:c r="S13" s="65" t="str">
        <x:v>Returned</x:v>
      </x:c>
    </x:row>
    <x:row r="14">
      <x:c r="A14" s="65" t="str">
        <x:v>what are the frontend and backend components of a database</x:v>
      </x:c>
      <x:c r="B14" s="65" t="str">
        <x:v>Software product/system mental model</x:v>
      </x:c>
      <x:c r="C14" s="65" t="str">
        <x:v>Frontend/backend/database roles</x:v>
      </x:c>
      <x:c r="D14" s="59" t="n">
        <x:v>0</x:v>
      </x:c>
      <x:c r="E14" s="59" t="n">
        <x:v>0</x:v>
      </x:c>
      <x:c r="F14" s="61" t="n">
        <x:v>0</x:v>
      </x:c>
      <x:c r="G14" s="61" t="n">
        <x:v>0</x:v>
      </x:c>
      <x:c r="H14" s="63"/>
      <x:c r="I14" s="63" t="n">
        <x:v>0</x:v>
      </x:c>
      <x:c r="J14" s="63" t="n">
        <x:v>3</x:v>
      </x:c>
      <x:c r="K14" s="65" t="str">
        <x:v>Analyst review of wording, validated scope and supplied SERP context</x:v>
      </x:c>
      <x:c r="L14" s="65" t="str">
        <x:v>Exact learning query</x:v>
      </x:c>
      <x:c r="M14" s="65" t="str">
        <x:v>Include</x:v>
      </x:c>
      <x:c r="N14" s="65" t="str">
        <x:v>Relevant to a validated PM need; retained despite zero or missing volume.</x:v>
      </x:c>
      <x:c r="O14" s="65" t="str">
        <x:v>B — related/discovered</x:v>
      </x:c>
      <x:c r="P14" s="65" t="str">
        <x:v>frontend backend database</x:v>
      </x:c>
      <x:c r="Q14" s="65" t="str">
        <x:v>question</x:v>
      </x:c>
      <x:c r="R14" s="65" t="str">
        <x:v>Returned</x:v>
      </x:c>
      <x:c r="S14" s="65" t="str">
        <x:v>Returned</x:v>
      </x:c>
    </x:row>
    <x:row r="15">
      <x:c r="A15" s="65" t="str">
        <x:v>what belongs in frontend backend database middleware</x:v>
      </x:c>
      <x:c r="B15" s="65" t="str">
        <x:v>Software product/system mental model</x:v>
      </x:c>
      <x:c r="C15" s="65" t="str">
        <x:v>Frontend/backend/database roles</x:v>
      </x:c>
      <x:c r="D15" s="59" t="n">
        <x:v>0</x:v>
      </x:c>
      <x:c r="E15" s="59"/>
      <x:c r="F15" s="61" t="n">
        <x:v>0</x:v>
      </x:c>
      <x:c r="G15" s="61"/>
      <x:c r="H15" s="63"/>
      <x:c r="I15" s="63"/>
      <x:c r="J15" s="63" t="n">
        <x:v>3</x:v>
      </x:c>
      <x:c r="K15" s="65" t="str">
        <x:v>Analyst review of wording, validated scope and supplied SERP context</x:v>
      </x:c>
      <x:c r="L15" s="65" t="str">
        <x:v>Exact learning query</x:v>
      </x:c>
      <x:c r="M15" s="65" t="str">
        <x:v>Include</x:v>
      </x:c>
      <x:c r="N15" s="65" t="str">
        <x:v>Relevant to a validated PM need; retained despite zero or missing volume.</x:v>
      </x:c>
      <x:c r="O15" s="65" t="str">
        <x:v>B — related/discovered</x:v>
      </x:c>
      <x:c r="P15" s="65" t="str">
        <x:v>frontend backend database</x:v>
      </x:c>
      <x:c r="Q15" s="65" t="str">
        <x:v>question</x:v>
      </x:c>
      <x:c r="R15" s="65" t="str">
        <x:v>Returned</x:v>
      </x:c>
      <x:c r="S15" s="65" t="str">
        <x:v>No row returned</x:v>
      </x:c>
    </x:row>
    <x:row r="16">
      <x:c r="A16" s="65" t="str">
        <x:v>what is frontend and backend database</x:v>
      </x:c>
      <x:c r="B16" s="65" t="str">
        <x:v>Software product/system mental model</x:v>
      </x:c>
      <x:c r="C16" s="65" t="str">
        <x:v>Frontend/backend/database roles</x:v>
      </x:c>
      <x:c r="D16" s="59" t="n">
        <x:v>0</x:v>
      </x:c>
      <x:c r="E16" s="59"/>
      <x:c r="F16" s="61" t="n">
        <x:v>0</x:v>
      </x:c>
      <x:c r="G16" s="61"/>
      <x:c r="H16" s="63"/>
      <x:c r="I16" s="63"/>
      <x:c r="J16" s="63" t="n">
        <x:v>3</x:v>
      </x:c>
      <x:c r="K16" s="65" t="str">
        <x:v>Analyst review of wording, validated scope and supplied SERP context</x:v>
      </x:c>
      <x:c r="L16" s="65" t="str">
        <x:v>Exact learning query</x:v>
      </x:c>
      <x:c r="M16" s="65" t="str">
        <x:v>Include</x:v>
      </x:c>
      <x:c r="N16" s="65" t="str">
        <x:v>Relevant to a validated PM need; retained despite zero or missing volume.</x:v>
      </x:c>
      <x:c r="O16" s="65" t="str">
        <x:v>B — related/discovered</x:v>
      </x:c>
      <x:c r="P16" s="65" t="str">
        <x:v>frontend backend database</x:v>
      </x:c>
      <x:c r="Q16" s="65" t="str">
        <x:v>question</x:v>
      </x:c>
      <x:c r="R16" s="65" t="str">
        <x:v>Returned</x:v>
      </x:c>
      <x:c r="S16" s="65" t="str">
        <x:v>No row returned</x:v>
      </x:c>
    </x:row>
    <x:row r="17">
      <x:c r="A17" s="65" t="str">
        <x:v>what is frontend backend and database</x:v>
      </x:c>
      <x:c r="B17" s="65" t="str">
        <x:v>Software product/system mental model</x:v>
      </x:c>
      <x:c r="C17" s="65" t="str">
        <x:v>Frontend/backend/database roles</x:v>
      </x:c>
      <x:c r="D17" s="59" t="n">
        <x:v>10</x:v>
      </x:c>
      <x:c r="E17" s="59"/>
      <x:c r="F17" s="61" t="n">
        <x:v>0</x:v>
      </x:c>
      <x:c r="G17" s="61"/>
      <x:c r="H17" s="63"/>
      <x:c r="I17" s="63"/>
      <x:c r="J17" s="63" t="n">
        <x:v>3</x:v>
      </x:c>
      <x:c r="K17" s="65" t="str">
        <x:v>Analyst review of wording, validated scope and supplied SERP context</x:v>
      </x:c>
      <x:c r="L17" s="65" t="str">
        <x:v>Exact learning query</x:v>
      </x:c>
      <x:c r="M17" s="65" t="str">
        <x:v>Include</x:v>
      </x:c>
      <x:c r="N17" s="65" t="str">
        <x:v>Relevant learning query mapped to a validated PM need.</x:v>
      </x:c>
      <x:c r="O17" s="65" t="str">
        <x:v>B — related/discovered</x:v>
      </x:c>
      <x:c r="P17" s="65" t="str">
        <x:v>frontend backend database</x:v>
      </x:c>
      <x:c r="Q17" s="65" t="str">
        <x:v>question</x:v>
      </x:c>
      <x:c r="R17" s="65" t="str">
        <x:v>Returned</x:v>
      </x:c>
      <x:c r="S17" s="65" t="str">
        <x:v>No row returned</x:v>
      </x:c>
    </x:row>
    <x:row r="18">
      <x:c r="A18" s="65" t="str">
        <x:v>what is frontend vs database vs backend</x:v>
      </x:c>
      <x:c r="B18" s="65" t="str">
        <x:v>Software product/system mental model</x:v>
      </x:c>
      <x:c r="C18" s="65" t="str">
        <x:v>Frontend/backend/database roles</x:v>
      </x:c>
      <x:c r="D18" s="59" t="n">
        <x:v>0</x:v>
      </x:c>
      <x:c r="E18" s="59"/>
      <x:c r="F18" s="61" t="n">
        <x:v>0</x:v>
      </x:c>
      <x:c r="G18" s="61"/>
      <x:c r="H18" s="63"/>
      <x:c r="I18" s="63"/>
      <x:c r="J18" s="63" t="n">
        <x:v>3</x:v>
      </x:c>
      <x:c r="K18" s="65" t="str">
        <x:v>Analyst review of wording, validated scope and supplied SERP context</x:v>
      </x:c>
      <x:c r="L18" s="65" t="str">
        <x:v>Exact learning query</x:v>
      </x:c>
      <x:c r="M18" s="65" t="str">
        <x:v>Include</x:v>
      </x:c>
      <x:c r="N18" s="65" t="str">
        <x:v>Relevant to a validated PM need; retained despite zero or missing volume.</x:v>
      </x:c>
      <x:c r="O18" s="65" t="str">
        <x:v>B — related/discovered</x:v>
      </x:c>
      <x:c r="P18" s="65" t="str">
        <x:v>frontend vs backend vs database</x:v>
      </x:c>
      <x:c r="Q18" s="65" t="str">
        <x:v>question</x:v>
      </x:c>
      <x:c r="R18" s="65" t="str">
        <x:v>Returned</x:v>
      </x:c>
      <x:c r="S18" s="65" t="str">
        <x:v>No row returned</x:v>
      </x:c>
    </x:row>
    <x:row r="19">
      <x:c r="A19" s="65" t="str">
        <x:v>tech stack explained</x:v>
      </x:c>
      <x:c r="B19" s="65" t="str">
        <x:v>Software product/system mental model</x:v>
      </x:c>
      <x:c r="C19" s="65" t="str">
        <x:v>Tech stack</x:v>
      </x:c>
      <x:c r="D19" s="59" t="n">
        <x:v>10</x:v>
      </x:c>
      <x:c r="E19" s="59" t="n">
        <x:v>10</x:v>
      </x:c>
      <x:c r="F19" s="61" t="n">
        <x:v>0</x:v>
      </x:c>
      <x:c r="G19" s="61" t="n">
        <x:v>0</x:v>
      </x:c>
      <x:c r="H19" s="63" t="n">
        <x:v>0</x:v>
      </x:c>
      <x:c r="I19" s="63" t="n">
        <x:v>0</x:v>
      </x:c>
      <x:c r="J19" s="63" t="n">
        <x:v>3</x:v>
      </x:c>
      <x:c r="K19" s="65" t="str">
        <x:v>Carried forward from search-language research (Google + YouTube autocomplete)</x:v>
      </x:c>
      <x:c r="L19" s="65" t="str">
        <x:v>Exact learning query</x:v>
      </x:c>
      <x:c r="M19" s="65" t="str">
        <x:v>Include</x:v>
      </x:c>
      <x:c r="N19" s="65" t="str">
        <x:v>Relevant observed learning phrase mapped to a validated PM need.</x:v>
      </x:c>
      <x:c r="O19" s="65" t="str">
        <x:v>A — observed seed</x:v>
      </x:c>
      <x:c r="P19" s="65" t="str">
        <x:v>tech stack explained</x:v>
      </x:c>
      <x:c r="Q19" s="65" t="str">
        <x:v>Observed search-language seed</x:v>
      </x:c>
      <x:c r="R19" s="65" t="str">
        <x:v>Returned</x:v>
      </x:c>
      <x:c r="S19" s="65" t="str">
        <x:v>Returned</x:v>
      </x:c>
    </x:row>
    <x:row r="20">
      <x:c r="A20" s="65" t="str">
        <x:v>application architecture explained</x:v>
      </x:c>
      <x:c r="B20" s="65" t="str">
        <x:v>Software product/system mental model</x:v>
      </x:c>
      <x:c r="C20" s="65" t="str">
        <x:v>Web product architecture and request flow</x:v>
      </x:c>
      <x:c r="D20" s="59" t="n">
        <x:v>0</x:v>
      </x:c>
      <x:c r="E20" s="59"/>
      <x:c r="F20" s="61" t="n">
        <x:v>0</x:v>
      </x:c>
      <x:c r="G20" s="61"/>
      <x:c r="H20" s="63" t="n">
        <x:v>0</x:v>
      </x:c>
      <x:c r="I20" s="63"/>
      <x:c r="J20" s="63" t="n">
        <x:v>3</x:v>
      </x:c>
      <x:c r="K20" s="65" t="str">
        <x:v>Carried forward from search-language research (Google + YouTube autocomplete)</x:v>
      </x:c>
      <x:c r="L20" s="65" t="str">
        <x:v>Exact learning query</x:v>
      </x:c>
      <x:c r="M20" s="65" t="str">
        <x:v>Include</x:v>
      </x:c>
      <x:c r="N20" s="65" t="str">
        <x:v>Relevant observed learning phrase mapped to a validated PM need.</x:v>
      </x:c>
      <x:c r="O20" s="65" t="str">
        <x:v>A — observed seed</x:v>
      </x:c>
      <x:c r="P20" s="65" t="str">
        <x:v>application architecture explained</x:v>
      </x:c>
      <x:c r="Q20" s="65" t="str">
        <x:v>Observed search-language seed</x:v>
      </x:c>
      <x:c r="R20" s="65" t="str">
        <x:v>Returned</x:v>
      </x:c>
      <x:c r="S20" s="65" t="str">
        <x:v>No row returned</x:v>
      </x:c>
    </x:row>
    <x:row r="21">
      <x:c r="A21" s="65" t="str">
        <x:v>how to explain application architecture</x:v>
      </x:c>
      <x:c r="B21" s="65" t="str">
        <x:v>Software product/system mental model</x:v>
      </x:c>
      <x:c r="C21" s="65" t="str">
        <x:v>Web product architecture and request flow</x:v>
      </x:c>
      <x:c r="D21" s="59" t="n">
        <x:v>0</x:v>
      </x:c>
      <x:c r="E21" s="59" t="n">
        <x:v>0</x:v>
      </x:c>
      <x:c r="F21" s="61" t="n">
        <x:v>0</x:v>
      </x:c>
      <x:c r="G21" s="61" t="n">
        <x:v>0</x:v>
      </x:c>
      <x:c r="H21" s="63"/>
      <x:c r="I21" s="63" t="n">
        <x:v>0</x:v>
      </x:c>
      <x:c r="J21" s="63" t="n">
        <x:v>3</x:v>
      </x:c>
      <x:c r="K21" s="65" t="str">
        <x:v>Analyst review of wording, validated scope and supplied SERP context</x:v>
      </x:c>
      <x:c r="L21" s="65" t="str">
        <x:v>Exact learning query</x:v>
      </x:c>
      <x:c r="M21" s="65" t="str">
        <x:v>Include</x:v>
      </x:c>
      <x:c r="N21" s="65" t="str">
        <x:v>Relevant to a validated PM need; retained despite zero or missing volume.</x:v>
      </x:c>
      <x:c r="O21" s="65" t="str">
        <x:v>B — related/discovered</x:v>
      </x:c>
      <x:c r="P21" s="65" t="str">
        <x:v>application architecture explained</x:v>
      </x:c>
      <x:c r="Q21" s="65" t="str">
        <x:v>question</x:v>
      </x:c>
      <x:c r="R21" s="65" t="str">
        <x:v>Returned</x:v>
      </x:c>
      <x:c r="S21" s="65" t="str">
        <x:v>Returned</x:v>
      </x:c>
    </x:row>
    <x:row r="22">
      <x:c r="A22" s="65" t="str">
        <x:v>how to explain the architecture of an application</x:v>
      </x:c>
      <x:c r="B22" s="65" t="str">
        <x:v>Software product/system mental model</x:v>
      </x:c>
      <x:c r="C22" s="65" t="str">
        <x:v>Web product architecture and request flow</x:v>
      </x:c>
      <x:c r="D22" s="59" t="n">
        <x:v>0</x:v>
      </x:c>
      <x:c r="E22" s="59"/>
      <x:c r="F22" s="61" t="n">
        <x:v>0</x:v>
      </x:c>
      <x:c r="G22" s="61"/>
      <x:c r="H22" s="63"/>
      <x:c r="I22" s="63"/>
      <x:c r="J22" s="63" t="n">
        <x:v>3</x:v>
      </x:c>
      <x:c r="K22" s="65" t="str">
        <x:v>Analyst review of wording, validated scope and supplied SERP context</x:v>
      </x:c>
      <x:c r="L22" s="65" t="str">
        <x:v>Exact learning query</x:v>
      </x:c>
      <x:c r="M22" s="65" t="str">
        <x:v>Include</x:v>
      </x:c>
      <x:c r="N22" s="65" t="str">
        <x:v>Relevant to a validated PM need; retained despite zero or missing volume.</x:v>
      </x:c>
      <x:c r="O22" s="65" t="str">
        <x:v>B — related/discovered</x:v>
      </x:c>
      <x:c r="P22" s="65" t="str">
        <x:v>application architecture explained</x:v>
      </x:c>
      <x:c r="Q22" s="65" t="str">
        <x:v>question</x:v>
      </x:c>
      <x:c r="R22" s="65" t="str">
        <x:v>Returned</x:v>
      </x:c>
      <x:c r="S22" s="65" t="str">
        <x:v>No row returned</x:v>
      </x:c>
    </x:row>
    <x:row r="23">
      <x:c r="A23" s="65" t="str">
        <x:v>how web apps work for beginners</x:v>
      </x:c>
      <x:c r="B23" s="65" t="str">
        <x:v>Software product/system mental model</x:v>
      </x:c>
      <x:c r="C23" s="65" t="str">
        <x:v>Web product architecture and request flow</x:v>
      </x:c>
      <x:c r="D23" s="59"/>
      <x:c r="E23" s="59"/>
      <x:c r="F23" s="61"/>
      <x:c r="G23" s="61"/>
      <x:c r="H23" s="63"/>
      <x:c r="I23" s="63"/>
      <x:c r="J23" s="63" t="n">
        <x:v>3</x:v>
      </x:c>
      <x:c r="K23" s="65" t="str">
        <x:v>Carried forward from search-language research (YouTube autocomplete (GB/US))</x:v>
      </x:c>
      <x:c r="L23" s="65" t="str">
        <x:v>Exact learning query</x:v>
      </x:c>
      <x:c r="M23" s="65" t="str">
        <x:v>Include</x:v>
      </x:c>
      <x:c r="N23" s="65" t="str">
        <x:v>Relevant observed learning phrase; retained despite missing Semrush rows in both countries.</x:v>
      </x:c>
      <x:c r="O23" s="65" t="str">
        <x:v>A — observed seed</x:v>
      </x:c>
      <x:c r="P23" s="65" t="str">
        <x:v>how web apps work for beginners</x:v>
      </x:c>
      <x:c r="Q23" s="65" t="str">
        <x:v>Observed search-language seed</x:v>
      </x:c>
      <x:c r="R23" s="65" t="str">
        <x:v>No row returned</x:v>
      </x:c>
      <x:c r="S23" s="65" t="str">
        <x:v>No row returned</x:v>
      </x:c>
    </x:row>
    <x:row r="24">
      <x:c r="A24" s="65" t="str">
        <x:v>web application architecture for beginners</x:v>
      </x:c>
      <x:c r="B24" s="65" t="str">
        <x:v>Software product/system mental model</x:v>
      </x:c>
      <x:c r="C24" s="65" t="str">
        <x:v>Web product architecture and request flow</x:v>
      </x:c>
      <x:c r="D24" s="59"/>
      <x:c r="E24" s="59"/>
      <x:c r="F24" s="61"/>
      <x:c r="G24" s="61"/>
      <x:c r="H24" s="63"/>
      <x:c r="I24" s="63"/>
      <x:c r="J24" s="63" t="n">
        <x:v>3</x:v>
      </x:c>
      <x:c r="K24" s="65" t="str">
        <x:v>Carried forward from search-language research (YouTube autocomplete (GB/US))</x:v>
      </x:c>
      <x:c r="L24" s="65" t="str">
        <x:v>Exact learning query</x:v>
      </x:c>
      <x:c r="M24" s="65" t="str">
        <x:v>Include</x:v>
      </x:c>
      <x:c r="N24" s="65" t="str">
        <x:v>Relevant observed learning phrase; retained despite missing Semrush rows in both countries.</x:v>
      </x:c>
      <x:c r="O24" s="65" t="str">
        <x:v>A — observed seed</x:v>
      </x:c>
      <x:c r="P24" s="65" t="str">
        <x:v>web application architecture for beginners</x:v>
      </x:c>
      <x:c r="Q24" s="65" t="str">
        <x:v>Observed search-language seed</x:v>
      </x:c>
      <x:c r="R24" s="65" t="str">
        <x:v>No row returned</x:v>
      </x:c>
      <x:c r="S24" s="65" t="str">
        <x:v>No row returned</x:v>
      </x:c>
    </x:row>
    <x:row r="25">
      <x:c r="A25" s="65" t="str">
        <x:v>how does an api work with a database</x:v>
      </x:c>
      <x:c r="B25" s="65" t="str">
        <x:v>APIs, integrations and data flow</x:v>
      </x:c>
      <x:c r="C25" s="65" t="str">
        <x:v>API and database data flow</x:v>
      </x:c>
      <x:c r="D25" s="59" t="n">
        <x:v>20</x:v>
      </x:c>
      <x:c r="E25" s="59" t="n">
        <x:v>20</x:v>
      </x:c>
      <x:c r="F25" s="61" t="n">
        <x:v>0</x:v>
      </x:c>
      <x:c r="G25" s="61" t="n">
        <x:v>0</x:v>
      </x:c>
      <x:c r="H25" s="63" t="n">
        <x:v>0</x:v>
      </x:c>
      <x:c r="I25" s="63" t="n">
        <x:v>0</x:v>
      </x:c>
      <x:c r="J25" s="63" t="n">
        <x:v>3</x:v>
      </x:c>
      <x:c r="K25" s="65" t="str">
        <x:v>Carried forward from search-language research (Google + YouTube autocomplete)</x:v>
      </x:c>
      <x:c r="L25" s="65" t="str">
        <x:v>Exact learning query</x:v>
      </x:c>
      <x:c r="M25" s="65" t="str">
        <x:v>Include</x:v>
      </x:c>
      <x:c r="N25" s="65" t="str">
        <x:v>Relevant observed learning phrase mapped to a validated PM need.</x:v>
      </x:c>
      <x:c r="O25" s="65" t="str">
        <x:v>A — observed seed</x:v>
      </x:c>
      <x:c r="P25" s="65" t="str">
        <x:v>how does an api work with a database</x:v>
      </x:c>
      <x:c r="Q25" s="65" t="str">
        <x:v>Observed search-language seed</x:v>
      </x:c>
      <x:c r="R25" s="65" t="str">
        <x:v>Returned</x:v>
      </x:c>
      <x:c r="S25" s="65" t="str">
        <x:v>Returned</x:v>
      </x:c>
    </x:row>
    <x:row r="26">
      <x:c r="A26" s="65" t="str">
        <x:v>api development</x:v>
      </x:c>
      <x:c r="B26" s="65" t="str">
        <x:v>APIs, integrations and data flow</x:v>
      </x:c>
      <x:c r="C26" s="65" t="str">
        <x:v>API basics and mechanics</x:v>
      </x:c>
      <x:c r="D26" s="59" t="n">
        <x:v>9900</x:v>
      </x:c>
      <x:c r="E26" s="59" t="n">
        <x:v>720</x:v>
      </x:c>
      <x:c r="F26" s="61" t="n">
        <x:v>7.22</x:v>
      </x:c>
      <x:c r="G26" s="61" t="n">
        <x:v>3.9</x:v>
      </x:c>
      <x:c r="H26" s="63"/>
      <x:c r="I26" s="63" t="n">
        <x:v>45</x:v>
      </x:c>
      <x:c r="J26" s="63" t="n">
        <x:v>1</x:v>
      </x:c>
      <x:c r="K26" s="65" t="str">
        <x:v>Analyst review of wording, validated scope and supplied SERP context</x:v>
      </x:c>
      <x:c r="L26" s="65" t="str">
        <x:v>Excluded</x:v>
      </x:c>
      <x:c r="M26" s="65" t="str">
        <x:v>Exclude</x:v>
      </x:c>
      <x:c r="N26" s="65" t="str">
        <x:v>Developer implementation intent; outside generalist PM technical fluency.</x:v>
      </x:c>
      <x:c r="O26" s="65" t="str">
        <x:v>B — related/discovered</x:v>
      </x:c>
      <x:c r="P26" s="65" t="str">
        <x:v>how does an api work; what is an api and how does it work</x:v>
      </x:c>
      <x:c r="Q26" s="65" t="str">
        <x:v>related</x:v>
      </x:c>
      <x:c r="R26" s="65" t="str">
        <x:v>Returned</x:v>
      </x:c>
      <x:c r="S26" s="65" t="str">
        <x:v>Returned</x:v>
      </x:c>
    </x:row>
    <x:row r="27">
      <x:c r="A27" s="65" t="str">
        <x:v>api software</x:v>
      </x:c>
      <x:c r="B27" s="65" t="str">
        <x:v>APIs, integrations and data flow</x:v>
      </x:c>
      <x:c r="C27" s="65" t="str">
        <x:v>API basics and mechanics</x:v>
      </x:c>
      <x:c r="D27" s="59" t="n">
        <x:v>1300</x:v>
      </x:c>
      <x:c r="E27" s="59" t="n">
        <x:v>320</x:v>
      </x:c>
      <x:c r="F27" s="61" t="n">
        <x:v>6.26</x:v>
      </x:c>
      <x:c r="G27" s="61" t="n">
        <x:v>5.75</x:v>
      </x:c>
      <x:c r="H27" s="63"/>
      <x:c r="I27" s="63" t="n">
        <x:v>36</x:v>
      </x:c>
      <x:c r="J27" s="63" t="n">
        <x:v>1</x:v>
      </x:c>
      <x:c r="K27" s="65" t="str">
        <x:v>Analyst review of wording, validated scope and supplied SERP context</x:v>
      </x:c>
      <x:c r="L27" s="65" t="str">
        <x:v>Excluded</x:v>
      </x:c>
      <x:c r="M27" s="65" t="str">
        <x:v>Exclude</x:v>
      </x:c>
      <x:c r="N27" s="65" t="str">
        <x:v>Ambiguous software/vendor category; volume cannot be attributed to API learning.</x:v>
      </x:c>
      <x:c r="O27" s="65" t="str">
        <x:v>B — related/discovered</x:v>
      </x:c>
      <x:c r="P27" s="65" t="str">
        <x:v>how does api integration work</x:v>
      </x:c>
      <x:c r="Q27" s="65" t="str">
        <x:v>related</x:v>
      </x:c>
      <x:c r="R27" s="65" t="str">
        <x:v>Returned</x:v>
      </x:c>
      <x:c r="S27" s="65" t="str">
        <x:v>Returned</x:v>
      </x:c>
    </x:row>
    <x:row r="28">
      <x:c r="A28" s="65" t="str">
        <x:v>how does an api gateway work</x:v>
      </x:c>
      <x:c r="B28" s="65" t="str">
        <x:v>APIs, integrations and data flow</x:v>
      </x:c>
      <x:c r="C28" s="65" t="str">
        <x:v>API basics and mechanics</x:v>
      </x:c>
      <x:c r="D28" s="59" t="n">
        <x:v>30</x:v>
      </x:c>
      <x:c r="E28" s="59" t="n">
        <x:v>20</x:v>
      </x:c>
      <x:c r="F28" s="61" t="n">
        <x:v>2.23</x:v>
      </x:c>
      <x:c r="G28" s="61" t="n">
        <x:v>0</x:v>
      </x:c>
      <x:c r="H28" s="63"/>
      <x:c r="I28" s="63" t="n">
        <x:v>0</x:v>
      </x:c>
      <x:c r="J28" s="63" t="n">
        <x:v>1</x:v>
      </x:c>
      <x:c r="K28" s="65" t="str">
        <x:v>Analyst review of wording, validated scope and supplied SERP context</x:v>
      </x:c>
      <x:c r="L28" s="65" t="str">
        <x:v>Excluded</x:v>
      </x:c>
      <x:c r="M28" s="65" t="str">
        <x:v>Exclude</x:v>
      </x:c>
      <x:c r="N28" s="65" t="str">
        <x:v>API-infrastructure specialist query not repeatedly supported as an everyday generalist-PM need.</x:v>
      </x:c>
      <x:c r="O28" s="65" t="str">
        <x:v>B — related/discovered</x:v>
      </x:c>
      <x:c r="P28" s="65" t="str">
        <x:v>how does an api work</x:v>
      </x:c>
      <x:c r="Q28" s="65" t="str">
        <x:v>question</x:v>
      </x:c>
      <x:c r="R28" s="65" t="str">
        <x:v>Returned</x:v>
      </x:c>
      <x:c r="S28" s="65" t="str">
        <x:v>Returned</x:v>
      </x:c>
    </x:row>
    <x:row r="29">
      <x:c r="A29" s="65" t="str">
        <x:v>how does an apy account work</x:v>
      </x:c>
      <x:c r="B29" s="65" t="str">
        <x:v>APIs, integrations and data flow</x:v>
      </x:c>
      <x:c r="C29" s="65" t="str">
        <x:v>API basics and mechanics</x:v>
      </x:c>
      <x:c r="D29" s="59" t="n">
        <x:v>20</x:v>
      </x:c>
      <x:c r="E29" s="59"/>
      <x:c r="F29" s="61" t="n">
        <x:v>0.88</x:v>
      </x:c>
      <x:c r="G29" s="61"/>
      <x:c r="H29" s="63"/>
      <x:c r="I29" s="63"/>
      <x:c r="J29" s="63" t="n">
        <x:v>1</x:v>
      </x:c>
      <x:c r="K29" s="65" t="str">
        <x:v>Analyst review of wording, validated scope and supplied SERP context</x:v>
      </x:c>
      <x:c r="L29" s="65" t="str">
        <x:v>Excluded</x:v>
      </x:c>
      <x:c r="M29" s="65" t="str">
        <x:v>Exclude</x:v>
      </x:c>
      <x:c r="N29" s="65" t="str">
        <x:v>Irrelevant finance query: APY is annual percentage yield, not API.</x:v>
      </x:c>
      <x:c r="O29" s="65" t="str">
        <x:v>B — related/discovered</x:v>
      </x:c>
      <x:c r="P29" s="65" t="str">
        <x:v>how does an api work</x:v>
      </x:c>
      <x:c r="Q29" s="65" t="str">
        <x:v>question</x:v>
      </x:c>
      <x:c r="R29" s="65" t="str">
        <x:v>Returned</x:v>
      </x:c>
      <x:c r="S29" s="65" t="str">
        <x:v>No row returned</x:v>
      </x:c>
    </x:row>
    <x:row r="30">
      <x:c r="A30" s="65" t="str">
        <x:v>how does an apy work</x:v>
      </x:c>
      <x:c r="B30" s="65" t="str">
        <x:v>APIs, integrations and data flow</x:v>
      </x:c>
      <x:c r="C30" s="65" t="str">
        <x:v>API basics and mechanics</x:v>
      </x:c>
      <x:c r="D30" s="59" t="n">
        <x:v>70</x:v>
      </x:c>
      <x:c r="E30" s="59" t="n">
        <x:v>20</x:v>
      </x:c>
      <x:c r="F30" s="61" t="n">
        <x:v>3.13</x:v>
      </x:c>
      <x:c r="G30" s="61" t="n">
        <x:v>0</x:v>
      </x:c>
      <x:c r="H30" s="63"/>
      <x:c r="I30" s="63" t="n">
        <x:v>0</x:v>
      </x:c>
      <x:c r="J30" s="63" t="n">
        <x:v>1</x:v>
      </x:c>
      <x:c r="K30" s="65" t="str">
        <x:v>Analyst review of wording, validated scope and supplied SERP context</x:v>
      </x:c>
      <x:c r="L30" s="65" t="str">
        <x:v>Excluded</x:v>
      </x:c>
      <x:c r="M30" s="65" t="str">
        <x:v>Exclude</x:v>
      </x:c>
      <x:c r="N30" s="65" t="str">
        <x:v>Irrelevant finance query: APY is annual percentage yield, not API.</x:v>
      </x:c>
      <x:c r="O30" s="65" t="str">
        <x:v>B — related/discovered</x:v>
      </x:c>
      <x:c r="P30" s="65" t="str">
        <x:v>how does an api work</x:v>
      </x:c>
      <x:c r="Q30" s="65" t="str">
        <x:v>question</x:v>
      </x:c>
      <x:c r="R30" s="65" t="str">
        <x:v>Returned</x:v>
      </x:c>
      <x:c r="S30" s="65" t="str">
        <x:v>Returned</x:v>
      </x:c>
    </x:row>
    <x:row r="31">
      <x:c r="A31" s="65" t="str">
        <x:v>websocket api</x:v>
      </x:c>
      <x:c r="B31" s="65" t="str">
        <x:v>APIs, integrations and data flow</x:v>
      </x:c>
      <x:c r="C31" s="65" t="str">
        <x:v>API basics and mechanics</x:v>
      </x:c>
      <x:c r="D31" s="59" t="n">
        <x:v>480</x:v>
      </x:c>
      <x:c r="E31" s="59" t="n">
        <x:v>90</x:v>
      </x:c>
      <x:c r="F31" s="61" t="n">
        <x:v>7.53</x:v>
      </x:c>
      <x:c r="G31" s="61" t="n">
        <x:v>9.17</x:v>
      </x:c>
      <x:c r="H31" s="63"/>
      <x:c r="I31" s="63" t="n">
        <x:v>75</x:v>
      </x:c>
      <x:c r="J31" s="63" t="n">
        <x:v>1</x:v>
      </x:c>
      <x:c r="K31" s="65" t="str">
        <x:v>Analyst review of wording, validated scope and supplied SERP context</x:v>
      </x:c>
      <x:c r="L31" s="65" t="str">
        <x:v>Excluded</x:v>
      </x:c>
      <x:c r="M31" s="65" t="str">
        <x:v>Exclude</x:v>
      </x:c>
      <x:c r="N31" s="65" t="str">
        <x:v>Developer implementation term outside the validated everyday generalist-PM need.</x:v>
      </x:c>
      <x:c r="O31" s="65" t="str">
        <x:v>B — related/discovered</x:v>
      </x:c>
      <x:c r="P31" s="65" t="str">
        <x:v>webhooks vs api</x:v>
      </x:c>
      <x:c r="Q31" s="65" t="str">
        <x:v>related</x:v>
      </x:c>
      <x:c r="R31" s="65" t="str">
        <x:v>Returned</x:v>
      </x:c>
      <x:c r="S31" s="65" t="str">
        <x:v>Returned</x:v>
      </x:c>
    </x:row>
    <x:row r="32">
      <x:c r="A32" s="65" t="str">
        <x:v>api</x:v>
      </x:c>
      <x:c r="B32" s="65" t="str">
        <x:v>APIs, integrations and data flow</x:v>
      </x:c>
      <x:c r="C32" s="65" t="str">
        <x:v>API basics and mechanics</x:v>
      </x:c>
      <x:c r="D32" s="59" t="n">
        <x:v>135000</x:v>
      </x:c>
      <x:c r="E32" s="59" t="n">
        <x:v>27100</x:v>
      </x:c>
      <x:c r="F32" s="61" t="n">
        <x:v>2.91</x:v>
      </x:c>
      <x:c r="G32" s="61" t="n">
        <x:v>2.03</x:v>
      </x:c>
      <x:c r="H32" s="63"/>
      <x:c r="I32" s="63" t="n">
        <x:v>72</x:v>
      </x:c>
      <x:c r="J32" s="63" t="n">
        <x:v>2</x:v>
      </x:c>
      <x:c r="K32" s="65" t="str">
        <x:v>Analyst review of wording, validated scope and supplied SERP context</x:v>
      </x:c>
      <x:c r="L32" s="65" t="str">
        <x:v>Broad category term</x:v>
      </x:c>
      <x:c r="M32" s="65" t="str">
        <x:v>Include</x:v>
      </x:c>
      <x:c r="N32" s="65" t="str">
        <x:v>Relevant broad category; retained but kept separate from exact learning demand.</x:v>
      </x:c>
      <x:c r="O32" s="65" t="str">
        <x:v>B — related/discovered</x:v>
      </x:c>
      <x:c r="P32" s="65" t="str">
        <x:v>how does an api work; what is an api and how does it work</x:v>
      </x:c>
      <x:c r="Q32" s="65" t="str">
        <x:v>related</x:v>
      </x:c>
      <x:c r="R32" s="65" t="str">
        <x:v>Returned</x:v>
      </x:c>
      <x:c r="S32" s="65" t="str">
        <x:v>Returned</x:v>
      </x:c>
    </x:row>
    <x:row r="33">
      <x:c r="A33" s="65" t="str">
        <x:v>api explained simply</x:v>
      </x:c>
      <x:c r="B33" s="65" t="str">
        <x:v>APIs, integrations and data flow</x:v>
      </x:c>
      <x:c r="C33" s="65" t="str">
        <x:v>API basics and mechanics</x:v>
      </x:c>
      <x:c r="D33" s="59" t="n">
        <x:v>20</x:v>
      </x:c>
      <x:c r="E33" s="59" t="n">
        <x:v>20</x:v>
      </x:c>
      <x:c r="F33" s="61" t="n">
        <x:v>3.34</x:v>
      </x:c>
      <x:c r="G33" s="61" t="n">
        <x:v>0</x:v>
      </x:c>
      <x:c r="H33" s="63" t="n">
        <x:v>0</x:v>
      </x:c>
      <x:c r="I33" s="63" t="n">
        <x:v>0</x:v>
      </x:c>
      <x:c r="J33" s="63" t="n">
        <x:v>3</x:v>
      </x:c>
      <x:c r="K33" s="65" t="str">
        <x:v>Carried forward from search-language research (Google autocomplete (GB))</x:v>
      </x:c>
      <x:c r="L33" s="65" t="str">
        <x:v>Exact learning query</x:v>
      </x:c>
      <x:c r="M33" s="65" t="str">
        <x:v>Include</x:v>
      </x:c>
      <x:c r="N33" s="65" t="str">
        <x:v>Relevant observed learning phrase mapped to a validated PM need.</x:v>
      </x:c>
      <x:c r="O33" s="65" t="str">
        <x:v>A — observed seed</x:v>
      </x:c>
      <x:c r="P33" s="65" t="str">
        <x:v>api explained simply</x:v>
      </x:c>
      <x:c r="Q33" s="65" t="str">
        <x:v>Observed search-language seed</x:v>
      </x:c>
      <x:c r="R33" s="65" t="str">
        <x:v>Returned</x:v>
      </x:c>
      <x:c r="S33" s="65" t="str">
        <x:v>Returned</x:v>
      </x:c>
    </x:row>
    <x:row r="34">
      <x:c r="A34" s="65" t="str">
        <x:v>api explained with real world example</x:v>
      </x:c>
      <x:c r="B34" s="65" t="str">
        <x:v>APIs, integrations and data flow</x:v>
      </x:c>
      <x:c r="C34" s="65" t="str">
        <x:v>API basics and mechanics</x:v>
      </x:c>
      <x:c r="D34" s="59"/>
      <x:c r="E34" s="59"/>
      <x:c r="F34" s="61"/>
      <x:c r="G34" s="61"/>
      <x:c r="H34" s="63"/>
      <x:c r="I34" s="63"/>
      <x:c r="J34" s="63" t="n">
        <x:v>3</x:v>
      </x:c>
      <x:c r="K34" s="65" t="str">
        <x:v>Carried forward from search-language research (Google + YouTube autocomplete)</x:v>
      </x:c>
      <x:c r="L34" s="65" t="str">
        <x:v>Exact learning query</x:v>
      </x:c>
      <x:c r="M34" s="65" t="str">
        <x:v>Include</x:v>
      </x:c>
      <x:c r="N34" s="65" t="str">
        <x:v>Relevant observed learning phrase; retained despite missing Semrush rows in both countries.</x:v>
      </x:c>
      <x:c r="O34" s="65" t="str">
        <x:v>A — observed seed</x:v>
      </x:c>
      <x:c r="P34" s="65" t="str">
        <x:v>api explained with real world example</x:v>
      </x:c>
      <x:c r="Q34" s="65" t="str">
        <x:v>Observed search-language seed</x:v>
      </x:c>
      <x:c r="R34" s="65" t="str">
        <x:v>No row returned</x:v>
      </x:c>
      <x:c r="S34" s="65" t="str">
        <x:v>No row returned</x:v>
      </x:c>
    </x:row>
    <x:row r="35">
      <x:c r="A35" s="65" t="str">
        <x:v>api meaning</x:v>
      </x:c>
      <x:c r="B35" s="65" t="str">
        <x:v>APIs, integrations and data flow</x:v>
      </x:c>
      <x:c r="C35" s="65" t="str">
        <x:v>API basics and mechanics</x:v>
      </x:c>
      <x:c r="D35" s="59" t="n">
        <x:v>40500</x:v>
      </x:c>
      <x:c r="E35" s="59" t="n">
        <x:v>12100</x:v>
      </x:c>
      <x:c r="F35" s="61" t="n">
        <x:v>0.41</x:v>
      </x:c>
      <x:c r="G35" s="61" t="n">
        <x:v>0.85</x:v>
      </x:c>
      <x:c r="H35" s="63"/>
      <x:c r="I35" s="63" t="n">
        <x:v>56</x:v>
      </x:c>
      <x:c r="J35" s="63" t="n">
        <x:v>3</x:v>
      </x:c>
      <x:c r="K35" s="65" t="str">
        <x:v>Analyst review of wording, validated scope and supplied SERP context</x:v>
      </x:c>
      <x:c r="L35" s="65" t="str">
        <x:v>Exact learning query</x:v>
      </x:c>
      <x:c r="M35" s="65" t="str">
        <x:v>Include</x:v>
      </x:c>
      <x:c r="N35" s="65" t="str">
        <x:v>Relevant learning query mapped to a validated PM need.</x:v>
      </x:c>
      <x:c r="O35" s="65" t="str">
        <x:v>B — related/discovered</x:v>
      </x:c>
      <x:c r="P35" s="65" t="str">
        <x:v>how does an api work; what is an api and how does it work</x:v>
      </x:c>
      <x:c r="Q35" s="65" t="str">
        <x:v>related</x:v>
      </x:c>
      <x:c r="R35" s="65" t="str">
        <x:v>Returned</x:v>
      </x:c>
      <x:c r="S35" s="65" t="str">
        <x:v>Returned</x:v>
      </x:c>
    </x:row>
    <x:row r="36">
      <x:c r="A36" s="65" t="str">
        <x:v>apis</x:v>
      </x:c>
      <x:c r="B36" s="65" t="str">
        <x:v>APIs, integrations and data flow</x:v>
      </x:c>
      <x:c r="C36" s="65" t="str">
        <x:v>API basics and mechanics</x:v>
      </x:c>
      <x:c r="D36" s="59" t="n">
        <x:v>33100</x:v>
      </x:c>
      <x:c r="E36" s="59" t="n">
        <x:v>8100</x:v>
      </x:c>
      <x:c r="F36" s="61" t="n">
        <x:v>2.91</x:v>
      </x:c>
      <x:c r="G36" s="61" t="n">
        <x:v>2.03</x:v>
      </x:c>
      <x:c r="H36" s="63"/>
      <x:c r="I36" s="63" t="n">
        <x:v>59</x:v>
      </x:c>
      <x:c r="J36" s="63" t="n">
        <x:v>2</x:v>
      </x:c>
      <x:c r="K36" s="65" t="str">
        <x:v>Analyst review of wording, validated scope and supplied SERP context</x:v>
      </x:c>
      <x:c r="L36" s="65" t="str">
        <x:v>Broad category term</x:v>
      </x:c>
      <x:c r="M36" s="65" t="str">
        <x:v>Include</x:v>
      </x:c>
      <x:c r="N36" s="65" t="str">
        <x:v>Relevant broad category; retained but kept separate from exact learning demand.</x:v>
      </x:c>
      <x:c r="O36" s="65" t="str">
        <x:v>B — related/discovered</x:v>
      </x:c>
      <x:c r="P36" s="65" t="str">
        <x:v>how does an api work; what is an api and how does it work</x:v>
      </x:c>
      <x:c r="Q36" s="65" t="str">
        <x:v>related</x:v>
      </x:c>
      <x:c r="R36" s="65" t="str">
        <x:v>Returned</x:v>
      </x:c>
      <x:c r="S36" s="65" t="str">
        <x:v>Returned</x:v>
      </x:c>
    </x:row>
    <x:row r="37">
      <x:c r="A37" s="65" t="str">
        <x:v>application programming interface meaning</x:v>
      </x:c>
      <x:c r="B37" s="65" t="str">
        <x:v>APIs, integrations and data flow</x:v>
      </x:c>
      <x:c r="C37" s="65" t="str">
        <x:v>API basics and mechanics</x:v>
      </x:c>
      <x:c r="D37" s="59" t="n">
        <x:v>12100</x:v>
      </x:c>
      <x:c r="E37" s="59" t="n">
        <x:v>170</x:v>
      </x:c>
      <x:c r="F37" s="61" t="n">
        <x:v>0.41</x:v>
      </x:c>
      <x:c r="G37" s="61" t="n">
        <x:v>0.88</x:v>
      </x:c>
      <x:c r="H37" s="63"/>
      <x:c r="I37" s="63" t="n">
        <x:v>0</x:v>
      </x:c>
      <x:c r="J37" s="63" t="n">
        <x:v>3</x:v>
      </x:c>
      <x:c r="K37" s="65" t="str">
        <x:v>Analyst review of wording, validated scope and supplied SERP context</x:v>
      </x:c>
      <x:c r="L37" s="65" t="str">
        <x:v>Exact learning query</x:v>
      </x:c>
      <x:c r="M37" s="65" t="str">
        <x:v>Include</x:v>
      </x:c>
      <x:c r="N37" s="65" t="str">
        <x:v>Relevant learning query mapped to a validated PM need.</x:v>
      </x:c>
      <x:c r="O37" s="65" t="str">
        <x:v>B — related/discovered</x:v>
      </x:c>
      <x:c r="P37" s="65" t="str">
        <x:v>how does an api work; what is an api and how does it work</x:v>
      </x:c>
      <x:c r="Q37" s="65" t="str">
        <x:v>related</x:v>
      </x:c>
      <x:c r="R37" s="65" t="str">
        <x:v>Returned</x:v>
      </x:c>
      <x:c r="S37" s="65" t="str">
        <x:v>Returned</x:v>
      </x:c>
    </x:row>
    <x:row r="38">
      <x:c r="A38" s="65" t="str">
        <x:v>define api</x:v>
      </x:c>
      <x:c r="B38" s="65" t="str">
        <x:v>APIs, integrations and data flow</x:v>
      </x:c>
      <x:c r="C38" s="65" t="str">
        <x:v>API basics and mechanics</x:v>
      </x:c>
      <x:c r="D38" s="59" t="n">
        <x:v>12100</x:v>
      </x:c>
      <x:c r="E38" s="59" t="n">
        <x:v>2900</x:v>
      </x:c>
      <x:c r="F38" s="61" t="n">
        <x:v>0.41</x:v>
      </x:c>
      <x:c r="G38" s="61" t="n">
        <x:v>0.85</x:v>
      </x:c>
      <x:c r="H38" s="63"/>
      <x:c r="I38" s="63" t="n">
        <x:v>65</x:v>
      </x:c>
      <x:c r="J38" s="63" t="n">
        <x:v>3</x:v>
      </x:c>
      <x:c r="K38" s="65" t="str">
        <x:v>Analyst review of wording, validated scope and supplied SERP context</x:v>
      </x:c>
      <x:c r="L38" s="65" t="str">
        <x:v>Exact learning query</x:v>
      </x:c>
      <x:c r="M38" s="65" t="str">
        <x:v>Include</x:v>
      </x:c>
      <x:c r="N38" s="65" t="str">
        <x:v>Relevant learning query mapped to a validated PM need.</x:v>
      </x:c>
      <x:c r="O38" s="65" t="str">
        <x:v>B — related/discovered</x:v>
      </x:c>
      <x:c r="P38" s="65" t="str">
        <x:v>how does an api work; what is an api and how does it work</x:v>
      </x:c>
      <x:c r="Q38" s="65" t="str">
        <x:v>related</x:v>
      </x:c>
      <x:c r="R38" s="65" t="str">
        <x:v>Returned</x:v>
      </x:c>
      <x:c r="S38" s="65" t="str">
        <x:v>Returned</x:v>
      </x:c>
    </x:row>
    <x:row r="39">
      <x:c r="A39" s="65" t="str">
        <x:v>how does an api call work</x:v>
      </x:c>
      <x:c r="B39" s="65" t="str">
        <x:v>APIs, integrations and data flow</x:v>
      </x:c>
      <x:c r="C39" s="65" t="str">
        <x:v>API basics and mechanics</x:v>
      </x:c>
      <x:c r="D39" s="59" t="n">
        <x:v>20</x:v>
      </x:c>
      <x:c r="E39" s="59" t="n">
        <x:v>20</x:v>
      </x:c>
      <x:c r="F39" s="61" t="n">
        <x:v>1.47</x:v>
      </x:c>
      <x:c r="G39" s="61" t="n">
        <x:v>0</x:v>
      </x:c>
      <x:c r="H39" s="63"/>
      <x:c r="I39" s="63" t="n">
        <x:v>0</x:v>
      </x:c>
      <x:c r="J39" s="63" t="n">
        <x:v>3</x:v>
      </x:c>
      <x:c r="K39" s="65" t="str">
        <x:v>Analyst review of wording, validated scope and supplied SERP context</x:v>
      </x:c>
      <x:c r="L39" s="65" t="str">
        <x:v>Exact learning query</x:v>
      </x:c>
      <x:c r="M39" s="65" t="str">
        <x:v>Include</x:v>
      </x:c>
      <x:c r="N39" s="65" t="str">
        <x:v>Relevant learning query mapped to a validated PM need.</x:v>
      </x:c>
      <x:c r="O39" s="65" t="str">
        <x:v>B — related/discovered</x:v>
      </x:c>
      <x:c r="P39" s="65" t="str">
        <x:v>how does an api work</x:v>
      </x:c>
      <x:c r="Q39" s="65" t="str">
        <x:v>question</x:v>
      </x:c>
      <x:c r="R39" s="65" t="str">
        <x:v>Returned</x:v>
      </x:c>
      <x:c r="S39" s="65" t="str">
        <x:v>Returned</x:v>
      </x:c>
    </x:row>
    <x:row r="40">
      <x:c r="A40" s="65" t="str">
        <x:v>how does an api work</x:v>
      </x:c>
      <x:c r="B40" s="65" t="str">
        <x:v>APIs, integrations and data flow</x:v>
      </x:c>
      <x:c r="C40" s="65" t="str">
        <x:v>API basics and mechanics</x:v>
      </x:c>
      <x:c r="D40" s="59" t="n">
        <x:v>720</x:v>
      </x:c>
      <x:c r="E40" s="59" t="n">
        <x:v>90</x:v>
      </x:c>
      <x:c r="F40" s="61" t="n">
        <x:v>55.83</x:v>
      </x:c>
      <x:c r="G40" s="61" t="n">
        <x:v>8.13</x:v>
      </x:c>
      <x:c r="H40" s="63" t="n">
        <x:v>46</x:v>
      </x:c>
      <x:c r="I40" s="63" t="n">
        <x:v>48</x:v>
      </x:c>
      <x:c r="J40" s="63" t="n">
        <x:v>3</x:v>
      </x:c>
      <x:c r="K40" s="65" t="str">
        <x:v>Carried forward from search-language research (Google + YouTube autocomplete)</x:v>
      </x:c>
      <x:c r="L40" s="65" t="str">
        <x:v>Exact learning query</x:v>
      </x:c>
      <x:c r="M40" s="65" t="str">
        <x:v>Include</x:v>
      </x:c>
      <x:c r="N40" s="65" t="str">
        <x:v>Relevant observed learning phrase mapped to a validated PM need.</x:v>
      </x:c>
      <x:c r="O40" s="65" t="str">
        <x:v>A — observed seed</x:v>
      </x:c>
      <x:c r="P40" s="65" t="str">
        <x:v>how does an api work</x:v>
      </x:c>
      <x:c r="Q40" s="65" t="str">
        <x:v>Observed search-language seed</x:v>
      </x:c>
      <x:c r="R40" s="65" t="str">
        <x:v>Returned</x:v>
      </x:c>
      <x:c r="S40" s="65" t="str">
        <x:v>Returned</x:v>
      </x:c>
    </x:row>
    <x:row r="41">
      <x:c r="A41" s="65" t="str">
        <x:v>how does an api work for dummies</x:v>
      </x:c>
      <x:c r="B41" s="65" t="str">
        <x:v>APIs, integrations and data flow</x:v>
      </x:c>
      <x:c r="C41" s="65" t="str">
        <x:v>API basics and mechanics</x:v>
      </x:c>
      <x:c r="D41" s="59" t="n">
        <x:v>20</x:v>
      </x:c>
      <x:c r="E41" s="59" t="n">
        <x:v>20</x:v>
      </x:c>
      <x:c r="F41" s="61" t="n">
        <x:v>2.94</x:v>
      </x:c>
      <x:c r="G41" s="61" t="n">
        <x:v>0</x:v>
      </x:c>
      <x:c r="H41" s="63" t="n">
        <x:v>0</x:v>
      </x:c>
      <x:c r="I41" s="63" t="n">
        <x:v>0</x:v>
      </x:c>
      <x:c r="J41" s="63" t="n">
        <x:v>3</x:v>
      </x:c>
      <x:c r="K41" s="65" t="str">
        <x:v>Carried forward from search-language research (Google autocomplete (GB))</x:v>
      </x:c>
      <x:c r="L41" s="65" t="str">
        <x:v>Exact learning query</x:v>
      </x:c>
      <x:c r="M41" s="65" t="str">
        <x:v>Include</x:v>
      </x:c>
      <x:c r="N41" s="65" t="str">
        <x:v>Relevant observed learning phrase mapped to a validated PM need.</x:v>
      </x:c>
      <x:c r="O41" s="65" t="str">
        <x:v>A — observed seed</x:v>
      </x:c>
      <x:c r="P41" s="65" t="str">
        <x:v>how does an api work for dummies</x:v>
      </x:c>
      <x:c r="Q41" s="65" t="str">
        <x:v>Observed search-language seed</x:v>
      </x:c>
      <x:c r="R41" s="65" t="str">
        <x:v>Returned</x:v>
      </x:c>
      <x:c r="S41" s="65" t="str">
        <x:v>Returned</x:v>
      </x:c>
    </x:row>
    <x:row r="42">
      <x:c r="A42" s="65" t="str">
        <x:v>what are apis</x:v>
      </x:c>
      <x:c r="B42" s="65" t="str">
        <x:v>APIs, integrations and data flow</x:v>
      </x:c>
      <x:c r="C42" s="65" t="str">
        <x:v>API basics and mechanics</x:v>
      </x:c>
      <x:c r="D42" s="59" t="n">
        <x:v>9900</x:v>
      </x:c>
      <x:c r="E42" s="59" t="n">
        <x:v>2400</x:v>
      </x:c>
      <x:c r="F42" s="61" t="n">
        <x:v>1.22</x:v>
      </x:c>
      <x:c r="G42" s="61" t="n">
        <x:v>1.12</x:v>
      </x:c>
      <x:c r="H42" s="63"/>
      <x:c r="I42" s="63" t="n">
        <x:v>71</x:v>
      </x:c>
      <x:c r="J42" s="63" t="n">
        <x:v>3</x:v>
      </x:c>
      <x:c r="K42" s="65" t="str">
        <x:v>Analyst review of wording, validated scope and supplied SERP context</x:v>
      </x:c>
      <x:c r="L42" s="65" t="str">
        <x:v>Exact learning query</x:v>
      </x:c>
      <x:c r="M42" s="65" t="str">
        <x:v>Include</x:v>
      </x:c>
      <x:c r="N42" s="65" t="str">
        <x:v>Relevant learning query mapped to a validated PM need.</x:v>
      </x:c>
      <x:c r="O42" s="65" t="str">
        <x:v>B — related/discovered</x:v>
      </x:c>
      <x:c r="P42" s="65" t="str">
        <x:v>how does an api work; what is an api and how does it work</x:v>
      </x:c>
      <x:c r="Q42" s="65" t="str">
        <x:v>related</x:v>
      </x:c>
      <x:c r="R42" s="65" t="str">
        <x:v>Returned</x:v>
      </x:c>
      <x:c r="S42" s="65" t="str">
        <x:v>Returned</x:v>
      </x:c>
    </x:row>
    <x:row r="43">
      <x:c r="A43" s="65" t="str">
        <x:v>what does api stand for</x:v>
      </x:c>
      <x:c r="B43" s="65" t="str">
        <x:v>APIs, integrations and data flow</x:v>
      </x:c>
      <x:c r="C43" s="65" t="str">
        <x:v>API basics and mechanics</x:v>
      </x:c>
      <x:c r="D43" s="59" t="n">
        <x:v>12100</x:v>
      </x:c>
      <x:c r="E43" s="59" t="n">
        <x:v>2400</x:v>
      </x:c>
      <x:c r="F43" s="61" t="n">
        <x:v>0.35</x:v>
      </x:c>
      <x:c r="G43" s="61" t="n">
        <x:v>0.92</x:v>
      </x:c>
      <x:c r="H43" s="63"/>
      <x:c r="I43" s="63" t="n">
        <x:v>65</x:v>
      </x:c>
      <x:c r="J43" s="63" t="n">
        <x:v>3</x:v>
      </x:c>
      <x:c r="K43" s="65" t="str">
        <x:v>Analyst review of wording, validated scope and supplied SERP context</x:v>
      </x:c>
      <x:c r="L43" s="65" t="str">
        <x:v>Exact learning query</x:v>
      </x:c>
      <x:c r="M43" s="65" t="str">
        <x:v>Include</x:v>
      </x:c>
      <x:c r="N43" s="65" t="str">
        <x:v>Relevant learning query mapped to a validated PM need.</x:v>
      </x:c>
      <x:c r="O43" s="65" t="str">
        <x:v>B — related/discovered</x:v>
      </x:c>
      <x:c r="P43" s="65" t="str">
        <x:v>how does an api work; what is an api and how does it work</x:v>
      </x:c>
      <x:c r="Q43" s="65" t="str">
        <x:v>related</x:v>
      </x:c>
      <x:c r="R43" s="65" t="str">
        <x:v>Returned</x:v>
      </x:c>
      <x:c r="S43" s="65" t="str">
        <x:v>Returned</x:v>
      </x:c>
    </x:row>
    <x:row r="44">
      <x:c r="A44" s="65" t="str">
        <x:v>what is an api</x:v>
      </x:c>
      <x:c r="B44" s="65" t="str">
        <x:v>APIs, integrations and data flow</x:v>
      </x:c>
      <x:c r="C44" s="65" t="str">
        <x:v>API basics and mechanics</x:v>
      </x:c>
      <x:c r="D44" s="59" t="n">
        <x:v>673000</x:v>
      </x:c>
      <x:c r="E44" s="59" t="n">
        <x:v>40500</x:v>
      </x:c>
      <x:c r="F44" s="61" t="n">
        <x:v>0.6</x:v>
      </x:c>
      <x:c r="G44" s="61" t="n">
        <x:v>1.21</x:v>
      </x:c>
      <x:c r="H44" s="63"/>
      <x:c r="I44" s="63" t="n">
        <x:v>70</x:v>
      </x:c>
      <x:c r="J44" s="63" t="n">
        <x:v>3</x:v>
      </x:c>
      <x:c r="K44" s="65" t="str">
        <x:v>Carried forward from search-language research (Google + YouTube autocomplete)</x:v>
      </x:c>
      <x:c r="L44" s="65" t="str">
        <x:v>Exact learning query</x:v>
      </x:c>
      <x:c r="M44" s="65" t="str">
        <x:v>Include</x:v>
      </x:c>
      <x:c r="N44" s="65" t="str">
        <x:v>Relevant learning query mapped to a validated PM need.</x:v>
      </x:c>
      <x:c r="O44" s="65" t="str">
        <x:v>B — related/discovered</x:v>
      </x:c>
      <x:c r="P44" s="65" t="str">
        <x:v>how does an api work; what is an api and how does it work</x:v>
      </x:c>
      <x:c r="Q44" s="65" t="str">
        <x:v>related</x:v>
      </x:c>
      <x:c r="R44" s="65" t="str">
        <x:v>Returned</x:v>
      </x:c>
      <x:c r="S44" s="65" t="str">
        <x:v>Returned</x:v>
      </x:c>
    </x:row>
    <x:row r="45">
      <x:c r="A45" s="65" t="str">
        <x:v>what is an api and how does it work</x:v>
      </x:c>
      <x:c r="B45" s="65" t="str">
        <x:v>APIs, integrations and data flow</x:v>
      </x:c>
      <x:c r="C45" s="65" t="str">
        <x:v>API basics and mechanics</x:v>
      </x:c>
      <x:c r="D45" s="59" t="n">
        <x:v>210</x:v>
      </x:c>
      <x:c r="E45" s="59" t="n">
        <x:v>20</x:v>
      </x:c>
      <x:c r="F45" s="61" t="n">
        <x:v>9.12</x:v>
      </x:c>
      <x:c r="G45" s="61" t="n">
        <x:v>8.15</x:v>
      </x:c>
      <x:c r="H45" s="63" t="n">
        <x:v>55</x:v>
      </x:c>
      <x:c r="I45" s="63" t="n">
        <x:v>0</x:v>
      </x:c>
      <x:c r="J45" s="63" t="n">
        <x:v>3</x:v>
      </x:c>
      <x:c r="K45" s="65" t="str">
        <x:v>Carried forward from search-language research (Google autocomplete (GB))</x:v>
      </x:c>
      <x:c r="L45" s="65" t="str">
        <x:v>Exact learning query</x:v>
      </x:c>
      <x:c r="M45" s="65" t="str">
        <x:v>Include</x:v>
      </x:c>
      <x:c r="N45" s="65" t="str">
        <x:v>Relevant observed learning phrase mapped to a validated PM need.</x:v>
      </x:c>
      <x:c r="O45" s="65" t="str">
        <x:v>A — observed seed</x:v>
      </x:c>
      <x:c r="P45" s="65" t="str">
        <x:v>what is an api and how does it work</x:v>
      </x:c>
      <x:c r="Q45" s="65" t="str">
        <x:v>Observed search-language seed</x:v>
      </x:c>
      <x:c r="R45" s="65" t="str">
        <x:v>Returned</x:v>
      </x:c>
      <x:c r="S45" s="65" t="str">
        <x:v>Returned</x:v>
      </x:c>
    </x:row>
    <x:row r="46">
      <x:c r="A46" s="65" t="str">
        <x:v>what is an api and how does it work 2026</x:v>
      </x:c>
      <x:c r="B46" s="65" t="str">
        <x:v>APIs, integrations and data flow</x:v>
      </x:c>
      <x:c r="C46" s="65" t="str">
        <x:v>API basics and mechanics</x:v>
      </x:c>
      <x:c r="D46" s="59" t="n">
        <x:v>0</x:v>
      </x:c>
      <x:c r="E46" s="59"/>
      <x:c r="F46" s="61" t="n">
        <x:v>0</x:v>
      </x:c>
      <x:c r="G46" s="61"/>
      <x:c r="H46" s="63"/>
      <x:c r="I46" s="63"/>
      <x:c r="J46" s="63" t="n">
        <x:v>3</x:v>
      </x:c>
      <x:c r="K46" s="65" t="str">
        <x:v>Analyst review of wording, validated scope and supplied SERP context</x:v>
      </x:c>
      <x:c r="L46" s="65" t="str">
        <x:v>Exact learning query</x:v>
      </x:c>
      <x:c r="M46" s="65" t="str">
        <x:v>Include</x:v>
      </x:c>
      <x:c r="N46" s="65" t="str">
        <x:v>Relevant to a validated PM need; retained despite zero or missing volume.</x:v>
      </x:c>
      <x:c r="O46" s="65" t="str">
        <x:v>B — related/discovered</x:v>
      </x:c>
      <x:c r="P46" s="65" t="str">
        <x:v>what is an api and how does it work</x:v>
      </x:c>
      <x:c r="Q46" s="65" t="str">
        <x:v>question</x:v>
      </x:c>
      <x:c r="R46" s="65" t="str">
        <x:v>Returned</x:v>
      </x:c>
      <x:c r="S46" s="65" t="str">
        <x:v>No row returned</x:v>
      </x:c>
    </x:row>
    <x:row r="47">
      <x:c r="A47" s="65" t="str">
        <x:v>what is an api and how does it work today</x:v>
      </x:c>
      <x:c r="B47" s="65" t="str">
        <x:v>APIs, integrations and data flow</x:v>
      </x:c>
      <x:c r="C47" s="65" t="str">
        <x:v>API basics and mechanics</x:v>
      </x:c>
      <x:c r="D47" s="59" t="n">
        <x:v>0</x:v>
      </x:c>
      <x:c r="E47" s="59"/>
      <x:c r="F47" s="61" t="n">
        <x:v>0</x:v>
      </x:c>
      <x:c r="G47" s="61"/>
      <x:c r="H47" s="63"/>
      <x:c r="I47" s="63"/>
      <x:c r="J47" s="63" t="n">
        <x:v>3</x:v>
      </x:c>
      <x:c r="K47" s="65" t="str">
        <x:v>Analyst review of wording, validated scope and supplied SERP context</x:v>
      </x:c>
      <x:c r="L47" s="65" t="str">
        <x:v>Exact learning query</x:v>
      </x:c>
      <x:c r="M47" s="65" t="str">
        <x:v>Include</x:v>
      </x:c>
      <x:c r="N47" s="65" t="str">
        <x:v>Relevant to a validated PM need; retained despite zero or missing volume.</x:v>
      </x:c>
      <x:c r="O47" s="65" t="str">
        <x:v>B — related/discovered</x:v>
      </x:c>
      <x:c r="P47" s="65" t="str">
        <x:v>what is an api and how does it work</x:v>
      </x:c>
      <x:c r="Q47" s="65" t="str">
        <x:v>question</x:v>
      </x:c>
      <x:c r="R47" s="65" t="str">
        <x:v>Returned</x:v>
      </x:c>
      <x:c r="S47" s="65" t="str">
        <x:v>No row returned</x:v>
      </x:c>
    </x:row>
    <x:row r="48">
      <x:c r="A48" s="65" t="str">
        <x:v>what is an api explained simply</x:v>
      </x:c>
      <x:c r="B48" s="65" t="str">
        <x:v>APIs, integrations and data flow</x:v>
      </x:c>
      <x:c r="C48" s="65" t="str">
        <x:v>API basics and mechanics</x:v>
      </x:c>
      <x:c r="D48" s="59" t="n">
        <x:v>10</x:v>
      </x:c>
      <x:c r="E48" s="59" t="n">
        <x:v>0</x:v>
      </x:c>
      <x:c r="F48" s="61" t="n">
        <x:v>0</x:v>
      </x:c>
      <x:c r="G48" s="61" t="n">
        <x:v>0</x:v>
      </x:c>
      <x:c r="H48" s="63"/>
      <x:c r="I48" s="63" t="n">
        <x:v>0</x:v>
      </x:c>
      <x:c r="J48" s="63" t="n">
        <x:v>3</x:v>
      </x:c>
      <x:c r="K48" s="65" t="str">
        <x:v>Analyst review of wording, validated scope and supplied SERP context</x:v>
      </x:c>
      <x:c r="L48" s="65" t="str">
        <x:v>Exact learning query</x:v>
      </x:c>
      <x:c r="M48" s="65" t="str">
        <x:v>Include</x:v>
      </x:c>
      <x:c r="N48" s="65" t="str">
        <x:v>Relevant learning query mapped to a validated PM need.</x:v>
      </x:c>
      <x:c r="O48" s="65" t="str">
        <x:v>B — related/discovered</x:v>
      </x:c>
      <x:c r="P48" s="65" t="str">
        <x:v>api explained simply</x:v>
      </x:c>
      <x:c r="Q48" s="65" t="str">
        <x:v>question</x:v>
      </x:c>
      <x:c r="R48" s="65" t="str">
        <x:v>Returned</x:v>
      </x:c>
      <x:c r="S48" s="65" t="str">
        <x:v>Returned</x:v>
      </x:c>
    </x:row>
    <x:row r="49">
      <x:c r="A49" s="65" t="str">
        <x:v>what is api</x:v>
      </x:c>
      <x:c r="B49" s="65" t="str">
        <x:v>APIs, integrations and data flow</x:v>
      </x:c>
      <x:c r="C49" s="65" t="str">
        <x:v>API basics and mechanics</x:v>
      </x:c>
      <x:c r="D49" s="59" t="n">
        <x:v>27100</x:v>
      </x:c>
      <x:c r="E49" s="59" t="n">
        <x:v>4400</x:v>
      </x:c>
      <x:c r="F49" s="61" t="n">
        <x:v>0.84</x:v>
      </x:c>
      <x:c r="G49" s="61" t="n">
        <x:v>1.21</x:v>
      </x:c>
      <x:c r="H49" s="63"/>
      <x:c r="I49" s="63" t="n">
        <x:v>48</x:v>
      </x:c>
      <x:c r="J49" s="63" t="n">
        <x:v>3</x:v>
      </x:c>
      <x:c r="K49" s="65" t="str">
        <x:v>Analyst review of wording, validated scope and supplied SERP context</x:v>
      </x:c>
      <x:c r="L49" s="65" t="str">
        <x:v>Exact learning query</x:v>
      </x:c>
      <x:c r="M49" s="65" t="str">
        <x:v>Include</x:v>
      </x:c>
      <x:c r="N49" s="65" t="str">
        <x:v>Relevant learning query mapped to a validated PM need.</x:v>
      </x:c>
      <x:c r="O49" s="65" t="str">
        <x:v>B — related/discovered</x:v>
      </x:c>
      <x:c r="P49" s="65" t="str">
        <x:v>how does an api work; what is an api and how does it work</x:v>
      </x:c>
      <x:c r="Q49" s="65" t="str">
        <x:v>related</x:v>
      </x:c>
      <x:c r="R49" s="65" t="str">
        <x:v>Returned</x:v>
      </x:c>
      <x:c r="S49" s="65" t="str">
        <x:v>Returned</x:v>
      </x:c>
    </x:row>
    <x:row r="50">
      <x:c r="A50" s="65" t="str">
        <x:v>api integration services</x:v>
      </x:c>
      <x:c r="B50" s="65" t="str">
        <x:v>APIs, integrations and data flow</x:v>
      </x:c>
      <x:c r="C50" s="65" t="str">
        <x:v>API integration</x:v>
      </x:c>
      <x:c r="D50" s="59" t="n">
        <x:v>1300</x:v>
      </x:c>
      <x:c r="E50" s="59" t="n">
        <x:v>480</x:v>
      </x:c>
      <x:c r="F50" s="61" t="n">
        <x:v>14.76</x:v>
      </x:c>
      <x:c r="G50" s="61" t="n">
        <x:v>11.31</x:v>
      </x:c>
      <x:c r="H50" s="63"/>
      <x:c r="I50" s="63" t="n">
        <x:v>22</x:v>
      </x:c>
      <x:c r="J50" s="63" t="n">
        <x:v>1</x:v>
      </x:c>
      <x:c r="K50" s="65" t="str">
        <x:v>Analyst review of wording, validated scope and supplied SERP context</x:v>
      </x:c>
      <x:c r="L50" s="65" t="str">
        <x:v>Excluded</x:v>
      </x:c>
      <x:c r="M50" s="65" t="str">
        <x:v>Exclude</x:v>
      </x:c>
      <x:c r="N50" s="65" t="str">
        <x:v>Commercial service-provider intent rather than a learning query.</x:v>
      </x:c>
      <x:c r="O50" s="65" t="str">
        <x:v>B — related/discovered</x:v>
      </x:c>
      <x:c r="P50" s="65" t="str">
        <x:v>how does api integration work</x:v>
      </x:c>
      <x:c r="Q50" s="65" t="str">
        <x:v>related</x:v>
      </x:c>
      <x:c r="R50" s="65" t="str">
        <x:v>Returned</x:v>
      </x:c>
      <x:c r="S50" s="65" t="str">
        <x:v>Returned</x:v>
      </x:c>
    </x:row>
    <x:row r="51">
      <x:c r="A51" s="65" t="str">
        <x:v>how does api based edi work for supply chain integration</x:v>
      </x:c>
      <x:c r="B51" s="65" t="str">
        <x:v>APIs, integrations and data flow</x:v>
      </x:c>
      <x:c r="C51" s="65" t="str">
        <x:v>API integration</x:v>
      </x:c>
      <x:c r="D51" s="59" t="n">
        <x:v>0</x:v>
      </x:c>
      <x:c r="E51" s="59"/>
      <x:c r="F51" s="61" t="n">
        <x:v>0</x:v>
      </x:c>
      <x:c r="G51" s="61"/>
      <x:c r="H51" s="63"/>
      <x:c r="I51" s="63"/>
      <x:c r="J51" s="63" t="n">
        <x:v>1</x:v>
      </x:c>
      <x:c r="K51" s="65" t="str">
        <x:v>Analyst review of wording, validated scope and supplied SERP context</x:v>
      </x:c>
      <x:c r="L51" s="65" t="str">
        <x:v>Excluded</x:v>
      </x:c>
      <x:c r="M51" s="65" t="str">
        <x:v>Exclude</x:v>
      </x:c>
      <x:c r="N51" s="65" t="str">
        <x:v>Supply-chain/EDI specialist implementation query outside the defined scope.</x:v>
      </x:c>
      <x:c r="O51" s="65" t="str">
        <x:v>B — related/discovered</x:v>
      </x:c>
      <x:c r="P51" s="65" t="str">
        <x:v>how does api integration work</x:v>
      </x:c>
      <x:c r="Q51" s="65" t="str">
        <x:v>question</x:v>
      </x:c>
      <x:c r="R51" s="65" t="str">
        <x:v>Returned</x:v>
      </x:c>
      <x:c r="S51" s="65" t="str">
        <x:v>No row returned</x:v>
      </x:c>
    </x:row>
    <x:row r="52">
      <x:c r="A52" s="65" t="str">
        <x:v>how does api-based edi work for supply chain integration</x:v>
      </x:c>
      <x:c r="B52" s="65" t="str">
        <x:v>APIs, integrations and data flow</x:v>
      </x:c>
      <x:c r="C52" s="65" t="str">
        <x:v>API integration</x:v>
      </x:c>
      <x:c r="D52" s="59" t="n">
        <x:v>10</x:v>
      </x:c>
      <x:c r="E52" s="59"/>
      <x:c r="F52" s="61" t="n">
        <x:v>0</x:v>
      </x:c>
      <x:c r="G52" s="61"/>
      <x:c r="H52" s="63"/>
      <x:c r="I52" s="63"/>
      <x:c r="J52" s="63" t="n">
        <x:v>1</x:v>
      </x:c>
      <x:c r="K52" s="65" t="str">
        <x:v>Analyst review of wording, validated scope and supplied SERP context</x:v>
      </x:c>
      <x:c r="L52" s="65" t="str">
        <x:v>Excluded</x:v>
      </x:c>
      <x:c r="M52" s="65" t="str">
        <x:v>Exclude</x:v>
      </x:c>
      <x:c r="N52" s="65" t="str">
        <x:v>Supply-chain/EDI specialist implementation query outside the defined scope.</x:v>
      </x:c>
      <x:c r="O52" s="65" t="str">
        <x:v>B — related/discovered</x:v>
      </x:c>
      <x:c r="P52" s="65" t="str">
        <x:v>how does api integration work</x:v>
      </x:c>
      <x:c r="Q52" s="65" t="str">
        <x:v>question</x:v>
      </x:c>
      <x:c r="R52" s="65" t="str">
        <x:v>Returned</x:v>
      </x:c>
      <x:c r="S52" s="65" t="str">
        <x:v>No row returned</x:v>
      </x:c>
    </x:row>
    <x:row r="53">
      <x:c r="A53" s="65" t="str">
        <x:v>how does banking api integration work</x:v>
      </x:c>
      <x:c r="B53" s="65" t="str">
        <x:v>APIs, integrations and data flow</x:v>
      </x:c>
      <x:c r="C53" s="65" t="str">
        <x:v>API integration</x:v>
      </x:c>
      <x:c r="D53" s="59" t="n">
        <x:v>10</x:v>
      </x:c>
      <x:c r="E53" s="59" t="n">
        <x:v>0</x:v>
      </x:c>
      <x:c r="F53" s="61" t="n">
        <x:v>0</x:v>
      </x:c>
      <x:c r="G53" s="61" t="n">
        <x:v>0</x:v>
      </x:c>
      <x:c r="H53" s="63"/>
      <x:c r="I53" s="63" t="n">
        <x:v>0</x:v>
      </x:c>
      <x:c r="J53" s="63" t="n">
        <x:v>1</x:v>
      </x:c>
      <x:c r="K53" s="65" t="str">
        <x:v>Analyst review of wording, validated scope and supplied SERP context</x:v>
      </x:c>
      <x:c r="L53" s="65" t="str">
        <x:v>Excluded</x:v>
      </x:c>
      <x:c r="M53" s="65" t="str">
        <x:v>Exclude</x:v>
      </x:c>
      <x:c r="N53" s="65" t="str">
        <x:v>Banking-domain specialist integration query outside the generalist scope.</x:v>
      </x:c>
      <x:c r="O53" s="65" t="str">
        <x:v>B — related/discovered</x:v>
      </x:c>
      <x:c r="P53" s="65" t="str">
        <x:v>how does api integration work</x:v>
      </x:c>
      <x:c r="Q53" s="65" t="str">
        <x:v>question</x:v>
      </x:c>
      <x:c r="R53" s="65" t="str">
        <x:v>Returned</x:v>
      </x:c>
      <x:c r="S53" s="65" t="str">
        <x:v>Returned</x:v>
      </x:c>
    </x:row>
    <x:row r="54">
      <x:c r="A54" s="65" t="str">
        <x:v>how does open banking api integration work</x:v>
      </x:c>
      <x:c r="B54" s="65" t="str">
        <x:v>APIs, integrations and data flow</x:v>
      </x:c>
      <x:c r="C54" s="65" t="str">
        <x:v>API integration</x:v>
      </x:c>
      <x:c r="D54" s="59" t="n">
        <x:v>10</x:v>
      </x:c>
      <x:c r="E54" s="59"/>
      <x:c r="F54" s="61" t="n">
        <x:v>0</x:v>
      </x:c>
      <x:c r="G54" s="61"/>
      <x:c r="H54" s="63"/>
      <x:c r="I54" s="63"/>
      <x:c r="J54" s="63" t="n">
        <x:v>1</x:v>
      </x:c>
      <x:c r="K54" s="65" t="str">
        <x:v>Analyst review of wording, validated scope and supplied SERP context</x:v>
      </x:c>
      <x:c r="L54" s="65" t="str">
        <x:v>Excluded</x:v>
      </x:c>
      <x:c r="M54" s="65" t="str">
        <x:v>Exclude</x:v>
      </x:c>
      <x:c r="N54" s="65" t="str">
        <x:v>Open-banking specialist integration query outside the generalist scope.</x:v>
      </x:c>
      <x:c r="O54" s="65" t="str">
        <x:v>B — related/discovered</x:v>
      </x:c>
      <x:c r="P54" s="65" t="str">
        <x:v>how does api integration work</x:v>
      </x:c>
      <x:c r="Q54" s="65" t="str">
        <x:v>question</x:v>
      </x:c>
      <x:c r="R54" s="65" t="str">
        <x:v>Returned</x:v>
      </x:c>
      <x:c r="S54" s="65" t="str">
        <x:v>No row returned</x:v>
      </x:c>
    </x:row>
    <x:row r="55">
      <x:c r="A55" s="65" t="str">
        <x:v>integration software</x:v>
      </x:c>
      <x:c r="B55" s="65" t="str">
        <x:v>APIs, integrations and data flow</x:v>
      </x:c>
      <x:c r="C55" s="65" t="str">
        <x:v>API integration</x:v>
      </x:c>
      <x:c r="D55" s="59" t="n">
        <x:v>1300</x:v>
      </x:c>
      <x:c r="E55" s="59" t="n">
        <x:v>140</x:v>
      </x:c>
      <x:c r="F55" s="61" t="n">
        <x:v>14.6</x:v>
      </x:c>
      <x:c r="G55" s="61" t="n">
        <x:v>12.02</x:v>
      </x:c>
      <x:c r="H55" s="63"/>
      <x:c r="I55" s="63" t="n">
        <x:v>39</x:v>
      </x:c>
      <x:c r="J55" s="63" t="n">
        <x:v>1</x:v>
      </x:c>
      <x:c r="K55" s="65" t="str">
        <x:v>Analyst review of wording, validated scope and supplied SERP context</x:v>
      </x:c>
      <x:c r="L55" s="65" t="str">
        <x:v>Excluded</x:v>
      </x:c>
      <x:c r="M55" s="65" t="str">
        <x:v>Exclude</x:v>
      </x:c>
      <x:c r="N55" s="65" t="str">
        <x:v>Ambiguous commercial software category rather than a clear technical-learning query.</x:v>
      </x:c>
      <x:c r="O55" s="65" t="str">
        <x:v>B — related/discovered</x:v>
      </x:c>
      <x:c r="P55" s="65" t="str">
        <x:v>how does api integration work</x:v>
      </x:c>
      <x:c r="Q55" s="65" t="str">
        <x:v>related</x:v>
      </x:c>
      <x:c r="R55" s="65" t="str">
        <x:v>Returned</x:v>
      </x:c>
      <x:c r="S55" s="65" t="str">
        <x:v>Returned</x:v>
      </x:c>
    </x:row>
    <x:row r="56">
      <x:c r="A56" s="65" t="str">
        <x:v>integrations</x:v>
      </x:c>
      <x:c r="B56" s="65" t="str">
        <x:v>APIs, integrations and data flow</x:v>
      </x:c>
      <x:c r="C56" s="65" t="str">
        <x:v>API integration</x:v>
      </x:c>
      <x:c r="D56" s="59" t="n">
        <x:v>3600</x:v>
      </x:c>
      <x:c r="E56" s="59" t="n">
        <x:v>1600</x:v>
      </x:c>
      <x:c r="F56" s="61" t="n">
        <x:v>9.7</x:v>
      </x:c>
      <x:c r="G56" s="61" t="n">
        <x:v>0</x:v>
      </x:c>
      <x:c r="H56" s="63"/>
      <x:c r="I56" s="63" t="n">
        <x:v>16</x:v>
      </x:c>
      <x:c r="J56" s="63" t="n">
        <x:v>1</x:v>
      </x:c>
      <x:c r="K56" s="65" t="str">
        <x:v>Analyst review of wording, validated scope and supplied SERP context</x:v>
      </x:c>
      <x:c r="L56" s="65" t="str">
        <x:v>Excluded</x:v>
      </x:c>
      <x:c r="M56" s="65" t="str">
        <x:v>Exclude</x:v>
      </x:c>
      <x:c r="N56" s="65" t="str">
        <x:v>Too broad and semantically ambiguous to attribute to API or technical-fluency demand.</x:v>
      </x:c>
      <x:c r="O56" s="65" t="str">
        <x:v>B — related/discovered</x:v>
      </x:c>
      <x:c r="P56" s="65" t="str">
        <x:v>how does api integration work</x:v>
      </x:c>
      <x:c r="Q56" s="65" t="str">
        <x:v>related</x:v>
      </x:c>
      <x:c r="R56" s="65" t="str">
        <x:v>Returned</x:v>
      </x:c>
      <x:c r="S56" s="65" t="str">
        <x:v>Returned</x:v>
      </x:c>
    </x:row>
    <x:row r="57">
      <x:c r="A57" s="65" t="str">
        <x:v>zapier integrations</x:v>
      </x:c>
      <x:c r="B57" s="65" t="str">
        <x:v>APIs, integrations and data flow</x:v>
      </x:c>
      <x:c r="C57" s="65" t="str">
        <x:v>API integration</x:v>
      </x:c>
      <x:c r="D57" s="59" t="n">
        <x:v>2400</x:v>
      </x:c>
      <x:c r="E57" s="59" t="n">
        <x:v>210</x:v>
      </x:c>
      <x:c r="F57" s="61" t="n">
        <x:v>6.46</x:v>
      </x:c>
      <x:c r="G57" s="61" t="n">
        <x:v>4.71</x:v>
      </x:c>
      <x:c r="H57" s="63"/>
      <x:c r="I57" s="63" t="n">
        <x:v>35</x:v>
      </x:c>
      <x:c r="J57" s="63" t="n">
        <x:v>1</x:v>
      </x:c>
      <x:c r="K57" s="65" t="str">
        <x:v>Analyst review of wording, validated scope and supplied SERP context</x:v>
      </x:c>
      <x:c r="L57" s="65" t="str">
        <x:v>Excluded</x:v>
      </x:c>
      <x:c r="M57" s="65" t="str">
        <x:v>Exclude</x:v>
      </x:c>
      <x:c r="N57" s="65" t="str">
        <x:v>Tool marketplace/configuration intent rather than general technical-learning demand.</x:v>
      </x:c>
      <x:c r="O57" s="65" t="str">
        <x:v>B — related/discovered</x:v>
      </x:c>
      <x:c r="P57" s="65" t="str">
        <x:v>how does api integration work</x:v>
      </x:c>
      <x:c r="Q57" s="65" t="str">
        <x:v>related</x:v>
      </x:c>
      <x:c r="R57" s="65" t="str">
        <x:v>Returned</x:v>
      </x:c>
      <x:c r="S57" s="65" t="str">
        <x:v>Returned</x:v>
      </x:c>
    </x:row>
    <x:row r="58">
      <x:c r="A58" s="65" t="str">
        <x:v>api connection</x:v>
      </x:c>
      <x:c r="B58" s="65" t="str">
        <x:v>APIs, integrations and data flow</x:v>
      </x:c>
      <x:c r="C58" s="65" t="str">
        <x:v>API integration</x:v>
      </x:c>
      <x:c r="D58" s="59" t="n">
        <x:v>1300</x:v>
      </x:c>
      <x:c r="E58" s="59" t="n">
        <x:v>170</x:v>
      </x:c>
      <x:c r="F58" s="61" t="n">
        <x:v>3.04</x:v>
      </x:c>
      <x:c r="G58" s="61" t="n">
        <x:v>5.61</x:v>
      </x:c>
      <x:c r="H58" s="63"/>
      <x:c r="I58" s="63" t="n">
        <x:v>61</x:v>
      </x:c>
      <x:c r="J58" s="63" t="n">
        <x:v>3</x:v>
      </x:c>
      <x:c r="K58" s="65" t="str">
        <x:v>Analyst review of wording, validated scope and supplied SERP context</x:v>
      </x:c>
      <x:c r="L58" s="65" t="str">
        <x:v>Specific concept term</x:v>
      </x:c>
      <x:c r="M58" s="65" t="str">
        <x:v>Include</x:v>
      </x:c>
      <x:c r="N58" s="65" t="str">
        <x:v>Relevant supporting concept; retained within its intent family without treating it as an exact learning query.</x:v>
      </x:c>
      <x:c r="O58" s="65" t="str">
        <x:v>B — related/discovered</x:v>
      </x:c>
      <x:c r="P58" s="65" t="str">
        <x:v>how does api integration work</x:v>
      </x:c>
      <x:c r="Q58" s="65" t="str">
        <x:v>related</x:v>
      </x:c>
      <x:c r="R58" s="65" t="str">
        <x:v>Returned</x:v>
      </x:c>
      <x:c r="S58" s="65" t="str">
        <x:v>Returned</x:v>
      </x:c>
    </x:row>
    <x:row r="59">
      <x:c r="A59" s="65" t="str">
        <x:v>api integration</x:v>
      </x:c>
      <x:c r="B59" s="65" t="str">
        <x:v>APIs, integrations and data flow</x:v>
      </x:c>
      <x:c r="C59" s="65" t="str">
        <x:v>API integration</x:v>
      </x:c>
      <x:c r="D59" s="59" t="n">
        <x:v>5400</x:v>
      </x:c>
      <x:c r="E59" s="59" t="n">
        <x:v>1600</x:v>
      </x:c>
      <x:c r="F59" s="61" t="n">
        <x:v>10.26</x:v>
      </x:c>
      <x:c r="G59" s="61" t="n">
        <x:v>6.4</x:v>
      </x:c>
      <x:c r="H59" s="63"/>
      <x:c r="I59" s="63" t="n">
        <x:v>47</x:v>
      </x:c>
      <x:c r="J59" s="63" t="n">
        <x:v>3</x:v>
      </x:c>
      <x:c r="K59" s="65" t="str">
        <x:v>Analyst review of wording, validated scope and supplied SERP context</x:v>
      </x:c>
      <x:c r="L59" s="65" t="str">
        <x:v>Specific concept term</x:v>
      </x:c>
      <x:c r="M59" s="65" t="str">
        <x:v>Include</x:v>
      </x:c>
      <x:c r="N59" s="65" t="str">
        <x:v>Relevant supporting concept; retained within its intent family without treating it as an exact learning query.</x:v>
      </x:c>
      <x:c r="O59" s="65" t="str">
        <x:v>B — related/discovered</x:v>
      </x:c>
      <x:c r="P59" s="65" t="str">
        <x:v>how does api integration work</x:v>
      </x:c>
      <x:c r="Q59" s="65" t="str">
        <x:v>related</x:v>
      </x:c>
      <x:c r="R59" s="65" t="str">
        <x:v>Returned</x:v>
      </x:c>
      <x:c r="S59" s="65" t="str">
        <x:v>Returned</x:v>
      </x:c>
    </x:row>
    <x:row r="60">
      <x:c r="A60" s="65" t="str">
        <x:v>api integration explained</x:v>
      </x:c>
      <x:c r="B60" s="65" t="str">
        <x:v>APIs, integrations and data flow</x:v>
      </x:c>
      <x:c r="C60" s="65" t="str">
        <x:v>API integration</x:v>
      </x:c>
      <x:c r="D60" s="59" t="n">
        <x:v>20</x:v>
      </x:c>
      <x:c r="E60" s="59" t="n">
        <x:v>20</x:v>
      </x:c>
      <x:c r="F60" s="61" t="n">
        <x:v>3.72</x:v>
      </x:c>
      <x:c r="G60" s="61" t="n">
        <x:v>0</x:v>
      </x:c>
      <x:c r="H60" s="63" t="n">
        <x:v>0</x:v>
      </x:c>
      <x:c r="I60" s="63" t="n">
        <x:v>0</x:v>
      </x:c>
      <x:c r="J60" s="63" t="n">
        <x:v>3</x:v>
      </x:c>
      <x:c r="K60" s="65" t="str">
        <x:v>Carried forward from search-language research (Google + YouTube autocomplete)</x:v>
      </x:c>
      <x:c r="L60" s="65" t="str">
        <x:v>Exact learning query</x:v>
      </x:c>
      <x:c r="M60" s="65" t="str">
        <x:v>Include</x:v>
      </x:c>
      <x:c r="N60" s="65" t="str">
        <x:v>Relevant observed learning phrase mapped to a validated PM need.</x:v>
      </x:c>
      <x:c r="O60" s="65" t="str">
        <x:v>A — observed seed</x:v>
      </x:c>
      <x:c r="P60" s="65" t="str">
        <x:v>api integration explained</x:v>
      </x:c>
      <x:c r="Q60" s="65" t="str">
        <x:v>Observed search-language seed</x:v>
      </x:c>
      <x:c r="R60" s="65" t="str">
        <x:v>Returned</x:v>
      </x:c>
      <x:c r="S60" s="65" t="str">
        <x:v>Returned</x:v>
      </x:c>
    </x:row>
    <x:row r="61">
      <x:c r="A61" s="65" t="str">
        <x:v>api integrations</x:v>
      </x:c>
      <x:c r="B61" s="65" t="str">
        <x:v>APIs, integrations and data flow</x:v>
      </x:c>
      <x:c r="C61" s="65" t="str">
        <x:v>API integration</x:v>
      </x:c>
      <x:c r="D61" s="59" t="n">
        <x:v>1300</x:v>
      </x:c>
      <x:c r="E61" s="59" t="n">
        <x:v>260</x:v>
      </x:c>
      <x:c r="F61" s="61" t="n">
        <x:v>8</x:v>
      </x:c>
      <x:c r="G61" s="61" t="n">
        <x:v>6.4</x:v>
      </x:c>
      <x:c r="H61" s="63"/>
      <x:c r="I61" s="63" t="n">
        <x:v>40</x:v>
      </x:c>
      <x:c r="J61" s="63" t="n">
        <x:v>3</x:v>
      </x:c>
      <x:c r="K61" s="65" t="str">
        <x:v>Analyst review of wording, validated scope and supplied SERP context</x:v>
      </x:c>
      <x:c r="L61" s="65" t="str">
        <x:v>Specific concept term</x:v>
      </x:c>
      <x:c r="M61" s="65" t="str">
        <x:v>Include</x:v>
      </x:c>
      <x:c r="N61" s="65" t="str">
        <x:v>Relevant supporting concept; retained within its intent family without treating it as an exact learning query.</x:v>
      </x:c>
      <x:c r="O61" s="65" t="str">
        <x:v>B — related/discovered</x:v>
      </x:c>
      <x:c r="P61" s="65" t="str">
        <x:v>how does api integration work</x:v>
      </x:c>
      <x:c r="Q61" s="65" t="str">
        <x:v>related</x:v>
      </x:c>
      <x:c r="R61" s="65" t="str">
        <x:v>Returned</x:v>
      </x:c>
      <x:c r="S61" s="65" t="str">
        <x:v>Returned</x:v>
      </x:c>
    </x:row>
    <x:row r="62">
      <x:c r="A62" s="65" t="str">
        <x:v>how does an api integration with freshdesk work</x:v>
      </x:c>
      <x:c r="B62" s="65" t="str">
        <x:v>APIs, integrations and data flow</x:v>
      </x:c>
      <x:c r="C62" s="65" t="str">
        <x:v>API integration</x:v>
      </x:c>
      <x:c r="D62" s="59" t="n">
        <x:v>0</x:v>
      </x:c>
      <x:c r="E62" s="59"/>
      <x:c r="F62" s="61" t="n">
        <x:v>0</x:v>
      </x:c>
      <x:c r="G62" s="61"/>
      <x:c r="H62" s="63"/>
      <x:c r="I62" s="63"/>
      <x:c r="J62" s="63" t="n">
        <x:v>3</x:v>
      </x:c>
      <x:c r="K62" s="65" t="str">
        <x:v>Analyst review of wording, validated scope and supplied SERP context</x:v>
      </x:c>
      <x:c r="L62" s="65" t="str">
        <x:v>Exact learning query</x:v>
      </x:c>
      <x:c r="M62" s="65" t="str">
        <x:v>Include</x:v>
      </x:c>
      <x:c r="N62" s="65" t="str">
        <x:v>Relevant to a validated PM need; retained despite zero or missing volume.</x:v>
      </x:c>
      <x:c r="O62" s="65" t="str">
        <x:v>B — related/discovered</x:v>
      </x:c>
      <x:c r="P62" s="65" t="str">
        <x:v>how does api integration work</x:v>
      </x:c>
      <x:c r="Q62" s="65" t="str">
        <x:v>question</x:v>
      </x:c>
      <x:c r="R62" s="65" t="str">
        <x:v>Returned</x:v>
      </x:c>
      <x:c r="S62" s="65" t="str">
        <x:v>No row returned</x:v>
      </x:c>
    </x:row>
    <x:row r="63">
      <x:c r="A63" s="65" t="str">
        <x:v>how does an api integration work</x:v>
      </x:c>
      <x:c r="B63" s="65" t="str">
        <x:v>APIs, integrations and data flow</x:v>
      </x:c>
      <x:c r="C63" s="65" t="str">
        <x:v>API integration</x:v>
      </x:c>
      <x:c r="D63" s="59" t="n">
        <x:v>20</x:v>
      </x:c>
      <x:c r="E63" s="59" t="n">
        <x:v>10</x:v>
      </x:c>
      <x:c r="F63" s="61" t="n">
        <x:v>0</x:v>
      </x:c>
      <x:c r="G63" s="61" t="n">
        <x:v>0</x:v>
      </x:c>
      <x:c r="H63" s="63"/>
      <x:c r="I63" s="63" t="n">
        <x:v>0</x:v>
      </x:c>
      <x:c r="J63" s="63" t="n">
        <x:v>3</x:v>
      </x:c>
      <x:c r="K63" s="65" t="str">
        <x:v>Analyst review of wording, validated scope and supplied SERP context</x:v>
      </x:c>
      <x:c r="L63" s="65" t="str">
        <x:v>Exact learning query</x:v>
      </x:c>
      <x:c r="M63" s="65" t="str">
        <x:v>Include</x:v>
      </x:c>
      <x:c r="N63" s="65" t="str">
        <x:v>Relevant learning query mapped to a validated PM need.</x:v>
      </x:c>
      <x:c r="O63" s="65" t="str">
        <x:v>B — related/discovered</x:v>
      </x:c>
      <x:c r="P63" s="65" t="str">
        <x:v>how does an api work; how does api integration work</x:v>
      </x:c>
      <x:c r="Q63" s="65" t="str">
        <x:v>question</x:v>
      </x:c>
      <x:c r="R63" s="65" t="str">
        <x:v>Returned</x:v>
      </x:c>
      <x:c r="S63" s="65" t="str">
        <x:v>Returned</x:v>
      </x:c>
    </x:row>
    <x:row r="64">
      <x:c r="A64" s="65" t="str">
        <x:v>how does api integration work</x:v>
      </x:c>
      <x:c r="B64" s="65" t="str">
        <x:v>APIs, integrations and data flow</x:v>
      </x:c>
      <x:c r="C64" s="65" t="str">
        <x:v>API integration</x:v>
      </x:c>
      <x:c r="D64" s="59" t="n">
        <x:v>110</x:v>
      </x:c>
      <x:c r="E64" s="59" t="n">
        <x:v>30</x:v>
      </x:c>
      <x:c r="F64" s="61" t="n">
        <x:v>51.27</x:v>
      </x:c>
      <x:c r="G64" s="61" t="n">
        <x:v>11.36</x:v>
      </x:c>
      <x:c r="H64" s="63" t="n">
        <x:v>35</x:v>
      </x:c>
      <x:c r="I64" s="63" t="n">
        <x:v>0</x:v>
      </x:c>
      <x:c r="J64" s="63" t="n">
        <x:v>3</x:v>
      </x:c>
      <x:c r="K64" s="65" t="str">
        <x:v>Carried forward from search-language research (Google + YouTube autocomplete)</x:v>
      </x:c>
      <x:c r="L64" s="65" t="str">
        <x:v>Exact learning query</x:v>
      </x:c>
      <x:c r="M64" s="65" t="str">
        <x:v>Include</x:v>
      </x:c>
      <x:c r="N64" s="65" t="str">
        <x:v>Relevant observed learning phrase mapped to a validated PM need.</x:v>
      </x:c>
      <x:c r="O64" s="65" t="str">
        <x:v>A — observed seed</x:v>
      </x:c>
      <x:c r="P64" s="65" t="str">
        <x:v>how does api integration work</x:v>
      </x:c>
      <x:c r="Q64" s="65" t="str">
        <x:v>Observed search-language seed</x:v>
      </x:c>
      <x:c r="R64" s="65" t="str">
        <x:v>Returned</x:v>
      </x:c>
      <x:c r="S64" s="65" t="str">
        <x:v>Returned</x:v>
      </x:c>
    </x:row>
    <x:row r="65">
      <x:c r="A65" s="65" t="str">
        <x:v>integration of api</x:v>
      </x:c>
      <x:c r="B65" s="65" t="str">
        <x:v>APIs, integrations and data flow</x:v>
      </x:c>
      <x:c r="C65" s="65" t="str">
        <x:v>API integration</x:v>
      </x:c>
      <x:c r="D65" s="59" t="n">
        <x:v>1600</x:v>
      </x:c>
      <x:c r="E65" s="59" t="n">
        <x:v>20</x:v>
      </x:c>
      <x:c r="F65" s="61" t="n">
        <x:v>10.26</x:v>
      </x:c>
      <x:c r="G65" s="61" t="n">
        <x:v>7.69</x:v>
      </x:c>
      <x:c r="H65" s="63"/>
      <x:c r="I65" s="63" t="n">
        <x:v>0</x:v>
      </x:c>
      <x:c r="J65" s="63" t="n">
        <x:v>3</x:v>
      </x:c>
      <x:c r="K65" s="65" t="str">
        <x:v>Analyst review of wording, validated scope and supplied SERP context</x:v>
      </x:c>
      <x:c r="L65" s="65" t="str">
        <x:v>Specific concept term</x:v>
      </x:c>
      <x:c r="M65" s="65" t="str">
        <x:v>Include</x:v>
      </x:c>
      <x:c r="N65" s="65" t="str">
        <x:v>Relevant supporting concept; retained within its intent family without treating it as an exact learning query.</x:v>
      </x:c>
      <x:c r="O65" s="65" t="str">
        <x:v>B — related/discovered</x:v>
      </x:c>
      <x:c r="P65" s="65" t="str">
        <x:v>how does api integration work</x:v>
      </x:c>
      <x:c r="Q65" s="65" t="str">
        <x:v>related</x:v>
      </x:c>
      <x:c r="R65" s="65" t="str">
        <x:v>Returned</x:v>
      </x:c>
      <x:c r="S65" s="65" t="str">
        <x:v>Returned</x:v>
      </x:c>
    </x:row>
    <x:row r="66">
      <x:c r="A66" s="65" t="str">
        <x:v>what is api integration</x:v>
      </x:c>
      <x:c r="B66" s="65" t="str">
        <x:v>APIs, integrations and data flow</x:v>
      </x:c>
      <x:c r="C66" s="65" t="str">
        <x:v>API integration</x:v>
      </x:c>
      <x:c r="D66" s="59" t="n">
        <x:v>1300</x:v>
      </x:c>
      <x:c r="E66" s="59" t="n">
        <x:v>260</x:v>
      </x:c>
      <x:c r="F66" s="61" t="n">
        <x:v>1.14</x:v>
      </x:c>
      <x:c r="G66" s="61" t="n">
        <x:v>1.59</x:v>
      </x:c>
      <x:c r="H66" s="63"/>
      <x:c r="I66" s="63" t="n">
        <x:v>39</x:v>
      </x:c>
      <x:c r="J66" s="63" t="n">
        <x:v>3</x:v>
      </x:c>
      <x:c r="K66" s="65" t="str">
        <x:v>Analyst review of wording, validated scope and supplied SERP context</x:v>
      </x:c>
      <x:c r="L66" s="65" t="str">
        <x:v>Exact learning query</x:v>
      </x:c>
      <x:c r="M66" s="65" t="str">
        <x:v>Include</x:v>
      </x:c>
      <x:c r="N66" s="65" t="str">
        <x:v>Relevant learning query mapped to a validated PM need.</x:v>
      </x:c>
      <x:c r="O66" s="65" t="str">
        <x:v>B — related/discovered</x:v>
      </x:c>
      <x:c r="P66" s="65" t="str">
        <x:v>how does api integration work</x:v>
      </x:c>
      <x:c r="Q66" s="65" t="str">
        <x:v>related</x:v>
      </x:c>
      <x:c r="R66" s="65" t="str">
        <x:v>Returned</x:v>
      </x:c>
      <x:c r="S66" s="65" t="str">
        <x:v>Returned</x:v>
      </x:c>
    </x:row>
    <x:row r="67">
      <x:c r="A67" s="65" t="str">
        <x:v>how does an api key work</x:v>
      </x:c>
      <x:c r="B67" s="65" t="str">
        <x:v>APIs, integrations and data flow</x:v>
      </x:c>
      <x:c r="C67" s="65" t="str">
        <x:v>API keys and authentication</x:v>
      </x:c>
      <x:c r="D67" s="59" t="n">
        <x:v>20</x:v>
      </x:c>
      <x:c r="E67" s="59" t="n">
        <x:v>20</x:v>
      </x:c>
      <x:c r="F67" s="61" t="n">
        <x:v>1.52</x:v>
      </x:c>
      <x:c r="G67" s="61" t="n">
        <x:v>0</x:v>
      </x:c>
      <x:c r="H67" s="63"/>
      <x:c r="I67" s="63" t="n">
        <x:v>0</x:v>
      </x:c>
      <x:c r="J67" s="63" t="n">
        <x:v>2</x:v>
      </x:c>
      <x:c r="K67" s="65" t="str">
        <x:v>Carried forward from search-language research (Google + YouTube autocomplete)</x:v>
      </x:c>
      <x:c r="L67" s="65" t="str">
        <x:v>Exact learning query</x:v>
      </x:c>
      <x:c r="M67" s="65" t="str">
        <x:v>Include</x:v>
      </x:c>
      <x:c r="N67" s="65" t="str">
        <x:v>Relevant learning query mapped to a validated PM need.</x:v>
      </x:c>
      <x:c r="O67" s="65" t="str">
        <x:v>B — related/discovered</x:v>
      </x:c>
      <x:c r="P67" s="65" t="str">
        <x:v>how does an api work</x:v>
      </x:c>
      <x:c r="Q67" s="65" t="str">
        <x:v>question</x:v>
      </x:c>
      <x:c r="R67" s="65" t="str">
        <x:v>Returned</x:v>
      </x:c>
      <x:c r="S67" s="65" t="str">
        <x:v>Returned</x:v>
      </x:c>
    </x:row>
    <x:row r="68">
      <x:c r="A68" s="65" t="str">
        <x:v>what is an api key and how does it work</x:v>
      </x:c>
      <x:c r="B68" s="65" t="str">
        <x:v>APIs, integrations and data flow</x:v>
      </x:c>
      <x:c r="C68" s="65" t="str">
        <x:v>API keys and authentication</x:v>
      </x:c>
      <x:c r="D68" s="59" t="n">
        <x:v>20</x:v>
      </x:c>
      <x:c r="E68" s="59" t="n">
        <x:v>20</x:v>
      </x:c>
      <x:c r="F68" s="61" t="n">
        <x:v>2.18</x:v>
      </x:c>
      <x:c r="G68" s="61" t="n">
        <x:v>0</x:v>
      </x:c>
      <x:c r="H68" s="63"/>
      <x:c r="I68" s="63" t="n">
        <x:v>0</x:v>
      </x:c>
      <x:c r="J68" s="63" t="n">
        <x:v>3</x:v>
      </x:c>
      <x:c r="K68" s="65" t="str">
        <x:v>Analyst review of wording, validated scope and supplied SERP context</x:v>
      </x:c>
      <x:c r="L68" s="65" t="str">
        <x:v>Exact learning query</x:v>
      </x:c>
      <x:c r="M68" s="65" t="str">
        <x:v>Include</x:v>
      </x:c>
      <x:c r="N68" s="65" t="str">
        <x:v>Relevant learning query mapped to a validated PM need.</x:v>
      </x:c>
      <x:c r="O68" s="65" t="str">
        <x:v>B — related/discovered</x:v>
      </x:c>
      <x:c r="P68" s="65" t="str">
        <x:v>what is an api and how does it work</x:v>
      </x:c>
      <x:c r="Q68" s="65" t="str">
        <x:v>question</x:v>
      </x:c>
      <x:c r="R68" s="65" t="str">
        <x:v>Returned</x:v>
      </x:c>
      <x:c r="S68" s="65" t="str">
        <x:v>Returned</x:v>
      </x:c>
    </x:row>
    <x:row r="69">
      <x:c r="A69" s="65" t="str">
        <x:v>webhook vs websocket</x:v>
      </x:c>
      <x:c r="B69" s="65" t="str">
        <x:v>APIs, integrations and data flow</x:v>
      </x:c>
      <x:c r="C69" s="65" t="str">
        <x:v>API versus webhook</x:v>
      </x:c>
      <x:c r="D69" s="59" t="n">
        <x:v>260</x:v>
      </x:c>
      <x:c r="E69" s="59" t="n">
        <x:v>30</x:v>
      </x:c>
      <x:c r="F69" s="61" t="n">
        <x:v>0</x:v>
      </x:c>
      <x:c r="G69" s="61" t="n">
        <x:v>0</x:v>
      </x:c>
      <x:c r="H69" s="63"/>
      <x:c r="I69" s="63" t="n">
        <x:v>0</x:v>
      </x:c>
      <x:c r="J69" s="63" t="n">
        <x:v>1</x:v>
      </x:c>
      <x:c r="K69" s="65" t="str">
        <x:v>Analyst review of wording, validated scope and supplied SERP context</x:v>
      </x:c>
      <x:c r="L69" s="65" t="str">
        <x:v>Excluded</x:v>
      </x:c>
      <x:c r="M69" s="65" t="str">
        <x:v>Exclude</x:v>
      </x:c>
      <x:c r="N69" s="65" t="str">
        <x:v>Real-time protocol implementation comparison with predominantly developer-specialist intent.</x:v>
      </x:c>
      <x:c r="O69" s="65" t="str">
        <x:v>B — related/discovered</x:v>
      </x:c>
      <x:c r="P69" s="65" t="str">
        <x:v>webhooks vs api</x:v>
      </x:c>
      <x:c r="Q69" s="65" t="str">
        <x:v>related</x:v>
      </x:c>
      <x:c r="R69" s="65" t="str">
        <x:v>Returned</x:v>
      </x:c>
      <x:c r="S69" s="65" t="str">
        <x:v>Returned</x:v>
      </x:c>
    </x:row>
    <x:row r="70">
      <x:c r="A70" s="65" t="str">
        <x:v>webhooks vs websockets</x:v>
      </x:c>
      <x:c r="B70" s="65" t="str">
        <x:v>APIs, integrations and data flow</x:v>
      </x:c>
      <x:c r="C70" s="65" t="str">
        <x:v>API versus webhook</x:v>
      </x:c>
      <x:c r="D70" s="59" t="n">
        <x:v>210</x:v>
      </x:c>
      <x:c r="E70" s="59" t="n">
        <x:v>30</x:v>
      </x:c>
      <x:c r="F70" s="61" t="n">
        <x:v>0</x:v>
      </x:c>
      <x:c r="G70" s="61" t="n">
        <x:v>0</x:v>
      </x:c>
      <x:c r="H70" s="63"/>
      <x:c r="I70" s="63" t="n">
        <x:v>0</x:v>
      </x:c>
      <x:c r="J70" s="63" t="n">
        <x:v>1</x:v>
      </x:c>
      <x:c r="K70" s="65" t="str">
        <x:v>Analyst review of wording, validated scope and supplied SERP context</x:v>
      </x:c>
      <x:c r="L70" s="65" t="str">
        <x:v>Excluded</x:v>
      </x:c>
      <x:c r="M70" s="65" t="str">
        <x:v>Exclude</x:v>
      </x:c>
      <x:c r="N70" s="65" t="str">
        <x:v>Real-time protocol implementation comparison with predominantly developer-specialist intent.</x:v>
      </x:c>
      <x:c r="O70" s="65" t="str">
        <x:v>B — related/discovered</x:v>
      </x:c>
      <x:c r="P70" s="65" t="str">
        <x:v>webhooks vs api</x:v>
      </x:c>
      <x:c r="Q70" s="65" t="str">
        <x:v>related</x:v>
      </x:c>
      <x:c r="R70" s="65" t="str">
        <x:v>Returned</x:v>
      </x:c>
      <x:c r="S70" s="65" t="str">
        <x:v>Returned</x:v>
      </x:c>
    </x:row>
    <x:row r="71">
      <x:c r="A71" s="65" t="str">
        <x:v>websocket vs webhook</x:v>
      </x:c>
      <x:c r="B71" s="65" t="str">
        <x:v>APIs, integrations and data flow</x:v>
      </x:c>
      <x:c r="C71" s="65" t="str">
        <x:v>API versus webhook</x:v>
      </x:c>
      <x:c r="D71" s="59" t="n">
        <x:v>170</x:v>
      </x:c>
      <x:c r="E71" s="59" t="n">
        <x:v>20</x:v>
      </x:c>
      <x:c r="F71" s="61" t="n">
        <x:v>0</x:v>
      </x:c>
      <x:c r="G71" s="61" t="n">
        <x:v>0</x:v>
      </x:c>
      <x:c r="H71" s="63"/>
      <x:c r="I71" s="63" t="n">
        <x:v>0</x:v>
      </x:c>
      <x:c r="J71" s="63" t="n">
        <x:v>1</x:v>
      </x:c>
      <x:c r="K71" s="65" t="str">
        <x:v>Analyst review of wording, validated scope and supplied SERP context</x:v>
      </x:c>
      <x:c r="L71" s="65" t="str">
        <x:v>Excluded</x:v>
      </x:c>
      <x:c r="M71" s="65" t="str">
        <x:v>Exclude</x:v>
      </x:c>
      <x:c r="N71" s="65" t="str">
        <x:v>Real-time protocol implementation comparison with predominantly developer-specialist intent.</x:v>
      </x:c>
      <x:c r="O71" s="65" t="str">
        <x:v>B — related/discovered</x:v>
      </x:c>
      <x:c r="P71" s="65" t="str">
        <x:v>webhooks vs api</x:v>
      </x:c>
      <x:c r="Q71" s="65" t="str">
        <x:v>related</x:v>
      </x:c>
      <x:c r="R71" s="65" t="str">
        <x:v>Returned</x:v>
      </x:c>
      <x:c r="S71" s="65" t="str">
        <x:v>Returned</x:v>
      </x:c>
    </x:row>
    <x:row r="72">
      <x:c r="A72" s="65" t="str">
        <x:v>api vs webhook</x:v>
      </x:c>
      <x:c r="B72" s="65" t="str">
        <x:v>APIs, integrations and data flow</x:v>
      </x:c>
      <x:c r="C72" s="65" t="str">
        <x:v>API versus webhook</x:v>
      </x:c>
      <x:c r="D72" s="59" t="n">
        <x:v>320</x:v>
      </x:c>
      <x:c r="E72" s="59" t="n">
        <x:v>20</x:v>
      </x:c>
      <x:c r="F72" s="61" t="n">
        <x:v>0.5</x:v>
      </x:c>
      <x:c r="G72" s="61" t="n">
        <x:v>0</x:v>
      </x:c>
      <x:c r="H72" s="63"/>
      <x:c r="I72" s="63" t="n">
        <x:v>0</x:v>
      </x:c>
      <x:c r="J72" s="63" t="n">
        <x:v>3</x:v>
      </x:c>
      <x:c r="K72" s="65" t="str">
        <x:v>Analyst review of wording, validated scope and supplied SERP context</x:v>
      </x:c>
      <x:c r="L72" s="65" t="str">
        <x:v>Exact learning query</x:v>
      </x:c>
      <x:c r="M72" s="65" t="str">
        <x:v>Include</x:v>
      </x:c>
      <x:c r="N72" s="65" t="str">
        <x:v>Relevant learning query mapped to a validated PM need.</x:v>
      </x:c>
      <x:c r="O72" s="65" t="str">
        <x:v>B — related/discovered</x:v>
      </x:c>
      <x:c r="P72" s="65" t="str">
        <x:v>webhooks vs api</x:v>
      </x:c>
      <x:c r="Q72" s="65" t="str">
        <x:v>related</x:v>
      </x:c>
      <x:c r="R72" s="65" t="str">
        <x:v>Returned</x:v>
      </x:c>
      <x:c r="S72" s="65" t="str">
        <x:v>Returned</x:v>
      </x:c>
    </x:row>
    <x:row r="73">
      <x:c r="A73" s="65" t="str">
        <x:v>webhook api</x:v>
      </x:c>
      <x:c r="B73" s="65" t="str">
        <x:v>APIs, integrations and data flow</x:v>
      </x:c>
      <x:c r="C73" s="65" t="str">
        <x:v>API versus webhook</x:v>
      </x:c>
      <x:c r="D73" s="59" t="n">
        <x:v>210</x:v>
      </x:c>
      <x:c r="E73" s="59" t="n">
        <x:v>20</x:v>
      </x:c>
      <x:c r="F73" s="61" t="n">
        <x:v>3.2</x:v>
      </x:c>
      <x:c r="G73" s="61" t="n">
        <x:v>11.46</x:v>
      </x:c>
      <x:c r="H73" s="63"/>
      <x:c r="I73" s="63" t="n">
        <x:v>0</x:v>
      </x:c>
      <x:c r="J73" s="63" t="n">
        <x:v>3</x:v>
      </x:c>
      <x:c r="K73" s="65" t="str">
        <x:v>Analyst review of wording, validated scope and supplied SERP context</x:v>
      </x:c>
      <x:c r="L73" s="65" t="str">
        <x:v>Specific concept term</x:v>
      </x:c>
      <x:c r="M73" s="65" t="str">
        <x:v>Include</x:v>
      </x:c>
      <x:c r="N73" s="65" t="str">
        <x:v>Relevant supporting concept; retained within its intent family without treating it as an exact learning query.</x:v>
      </x:c>
      <x:c r="O73" s="65" t="str">
        <x:v>B — related/discovered</x:v>
      </x:c>
      <x:c r="P73" s="65" t="str">
        <x:v>webhooks vs api</x:v>
      </x:c>
      <x:c r="Q73" s="65" t="str">
        <x:v>related</x:v>
      </x:c>
      <x:c r="R73" s="65" t="str">
        <x:v>Returned</x:v>
      </x:c>
      <x:c r="S73" s="65" t="str">
        <x:v>Returned</x:v>
      </x:c>
    </x:row>
    <x:row r="74">
      <x:c r="A74" s="65" t="str">
        <x:v>webhook vs api</x:v>
      </x:c>
      <x:c r="B74" s="65" t="str">
        <x:v>APIs, integrations and data flow</x:v>
      </x:c>
      <x:c r="C74" s="65" t="str">
        <x:v>API versus webhook</x:v>
      </x:c>
      <x:c r="D74" s="59" t="n">
        <x:v>1300</x:v>
      </x:c>
      <x:c r="E74" s="59" t="n">
        <x:v>170</x:v>
      </x:c>
      <x:c r="F74" s="61" t="n">
        <x:v>0.29</x:v>
      </x:c>
      <x:c r="G74" s="61" t="n">
        <x:v>0.2</x:v>
      </x:c>
      <x:c r="H74" s="63"/>
      <x:c r="I74" s="63" t="n">
        <x:v>31</x:v>
      </x:c>
      <x:c r="J74" s="63" t="n">
        <x:v>3</x:v>
      </x:c>
      <x:c r="K74" s="65" t="str">
        <x:v>Analyst review of wording, validated scope and supplied SERP context</x:v>
      </x:c>
      <x:c r="L74" s="65" t="str">
        <x:v>Exact learning query</x:v>
      </x:c>
      <x:c r="M74" s="65" t="str">
        <x:v>Include</x:v>
      </x:c>
      <x:c r="N74" s="65" t="str">
        <x:v>Relevant learning query mapped to a validated PM need.</x:v>
      </x:c>
      <x:c r="O74" s="65" t="str">
        <x:v>B — related/discovered</x:v>
      </x:c>
      <x:c r="P74" s="65" t="str">
        <x:v>webhooks vs api</x:v>
      </x:c>
      <x:c r="Q74" s="65" t="str">
        <x:v>related</x:v>
      </x:c>
      <x:c r="R74" s="65" t="str">
        <x:v>Returned</x:v>
      </x:c>
      <x:c r="S74" s="65" t="str">
        <x:v>Returned</x:v>
      </x:c>
    </x:row>
    <x:row r="75">
      <x:c r="A75" s="65" t="str">
        <x:v>webhooks vs api</x:v>
      </x:c>
      <x:c r="B75" s="65" t="str">
        <x:v>APIs, integrations and data flow</x:v>
      </x:c>
      <x:c r="C75" s="65" t="str">
        <x:v>API versus webhook</x:v>
      </x:c>
      <x:c r="D75" s="59" t="n">
        <x:v>720</x:v>
      </x:c>
      <x:c r="E75" s="59" t="n">
        <x:v>40</x:v>
      </x:c>
      <x:c r="F75" s="61" t="n">
        <x:v>0.79</x:v>
      </x:c>
      <x:c r="G75" s="61" t="n">
        <x:v>3.72</x:v>
      </x:c>
      <x:c r="H75" s="63" t="n">
        <x:v>30</x:v>
      </x:c>
      <x:c r="I75" s="63" t="n">
        <x:v>0</x:v>
      </x:c>
      <x:c r="J75" s="63" t="n">
        <x:v>3</x:v>
      </x:c>
      <x:c r="K75" s="65" t="str">
        <x:v>Carried forward from search-language research (Google autocomplete (GB))</x:v>
      </x:c>
      <x:c r="L75" s="65" t="str">
        <x:v>Exact learning query</x:v>
      </x:c>
      <x:c r="M75" s="65" t="str">
        <x:v>Include</x:v>
      </x:c>
      <x:c r="N75" s="65" t="str">
        <x:v>Relevant observed learning phrase mapped to a validated PM need.</x:v>
      </x:c>
      <x:c r="O75" s="65" t="str">
        <x:v>A — observed seed</x:v>
      </x:c>
      <x:c r="P75" s="65" t="str">
        <x:v>webhooks vs api</x:v>
      </x:c>
      <x:c r="Q75" s="65" t="str">
        <x:v>Observed search-language seed</x:v>
      </x:c>
      <x:c r="R75" s="65" t="str">
        <x:v>Returned</x:v>
      </x:c>
      <x:c r="S75" s="65" t="str">
        <x:v>Returned</x:v>
      </x:c>
    </x:row>
    <x:row r="76">
      <x:c r="A76" s="65" t="str">
        <x:v>what is a webhook vs api</x:v>
      </x:c>
      <x:c r="B76" s="65" t="str">
        <x:v>APIs, integrations and data flow</x:v>
      </x:c>
      <x:c r="C76" s="65" t="str">
        <x:v>API versus webhook</x:v>
      </x:c>
      <x:c r="D76" s="59" t="n">
        <x:v>2900</x:v>
      </x:c>
      <x:c r="E76" s="59" t="n">
        <x:v>6600</x:v>
      </x:c>
      <x:c r="F76" s="61" t="n">
        <x:v>0.51</x:v>
      </x:c>
      <x:c r="G76" s="61" t="n">
        <x:v>0</x:v>
      </x:c>
      <x:c r="H76" s="63"/>
      <x:c r="I76" s="63" t="n">
        <x:v>37</x:v>
      </x:c>
      <x:c r="J76" s="63" t="n">
        <x:v>3</x:v>
      </x:c>
      <x:c r="K76" s="65" t="str">
        <x:v>Analyst review of wording, validated scope and supplied SERP context</x:v>
      </x:c>
      <x:c r="L76" s="65" t="str">
        <x:v>Exact learning query</x:v>
      </x:c>
      <x:c r="M76" s="65" t="str">
        <x:v>Include</x:v>
      </x:c>
      <x:c r="N76" s="65" t="str">
        <x:v>Relevant learning query mapped to a validated PM need.</x:v>
      </x:c>
      <x:c r="O76" s="65" t="str">
        <x:v>B — related/discovered</x:v>
      </x:c>
      <x:c r="P76" s="65" t="str">
        <x:v>webhooks vs api</x:v>
      </x:c>
      <x:c r="Q76" s="65" t="str">
        <x:v>related + question</x:v>
      </x:c>
      <x:c r="R76" s="65" t="str">
        <x:v>Returned</x:v>
      </x:c>
      <x:c r="S76" s="65" t="str">
        <x:v>Returned</x:v>
      </x:c>
    </x:row>
    <x:row r="77">
      <x:c r="A77" s="65" t="str">
        <x:v>what is the difference between a webhook and an api</x:v>
      </x:c>
      <x:c r="B77" s="65" t="str">
        <x:v>APIs, integrations and data flow</x:v>
      </x:c>
      <x:c r="C77" s="65" t="str">
        <x:v>API versus webhook</x:v>
      </x:c>
      <x:c r="D77" s="59" t="n">
        <x:v>20</x:v>
      </x:c>
      <x:c r="E77" s="59" t="n">
        <x:v>20</x:v>
      </x:c>
      <x:c r="F77" s="61" t="n">
        <x:v>0.13</x:v>
      </x:c>
      <x:c r="G77" s="61" t="n">
        <x:v>0</x:v>
      </x:c>
      <x:c r="H77" s="63"/>
      <x:c r="I77" s="63" t="n">
        <x:v>0</x:v>
      </x:c>
      <x:c r="J77" s="63" t="n">
        <x:v>3</x:v>
      </x:c>
      <x:c r="K77" s="65" t="str">
        <x:v>Analyst review of wording, validated scope and supplied SERP context</x:v>
      </x:c>
      <x:c r="L77" s="65" t="str">
        <x:v>Exact learning query</x:v>
      </x:c>
      <x:c r="M77" s="65" t="str">
        <x:v>Include</x:v>
      </x:c>
      <x:c r="N77" s="65" t="str">
        <x:v>Relevant learning query mapped to a validated PM need.</x:v>
      </x:c>
      <x:c r="O77" s="65" t="str">
        <x:v>B — related/discovered</x:v>
      </x:c>
      <x:c r="P77" s="65" t="str">
        <x:v>What is the difference between API and webhook?</x:v>
      </x:c>
      <x:c r="Q77" s="65" t="str">
        <x:v>question</x:v>
      </x:c>
      <x:c r="R77" s="65" t="str">
        <x:v>Returned</x:v>
      </x:c>
      <x:c r="S77" s="65" t="str">
        <x:v>Returned</x:v>
      </x:c>
    </x:row>
    <x:row r="78">
      <x:c r="A78" s="65" t="str">
        <x:v>what is the difference between a webhook and api</x:v>
      </x:c>
      <x:c r="B78" s="65" t="str">
        <x:v>APIs, integrations and data flow</x:v>
      </x:c>
      <x:c r="C78" s="65" t="str">
        <x:v>API versus webhook</x:v>
      </x:c>
      <x:c r="D78" s="59" t="n">
        <x:v>20</x:v>
      </x:c>
      <x:c r="E78" s="59" t="n">
        <x:v>0</x:v>
      </x:c>
      <x:c r="F78" s="61" t="n">
        <x:v>0</x:v>
      </x:c>
      <x:c r="G78" s="61" t="n">
        <x:v>0</x:v>
      </x:c>
      <x:c r="H78" s="63"/>
      <x:c r="I78" s="63" t="n">
        <x:v>0</x:v>
      </x:c>
      <x:c r="J78" s="63" t="n">
        <x:v>3</x:v>
      </x:c>
      <x:c r="K78" s="65" t="str">
        <x:v>Analyst review of wording, validated scope and supplied SERP context</x:v>
      </x:c>
      <x:c r="L78" s="65" t="str">
        <x:v>Exact learning query</x:v>
      </x:c>
      <x:c r="M78" s="65" t="str">
        <x:v>Include</x:v>
      </x:c>
      <x:c r="N78" s="65" t="str">
        <x:v>Relevant learning query mapped to a validated PM need.</x:v>
      </x:c>
      <x:c r="O78" s="65" t="str">
        <x:v>B — related/discovered</x:v>
      </x:c>
      <x:c r="P78" s="65" t="str">
        <x:v>What is the difference between API and webhook?</x:v>
      </x:c>
      <x:c r="Q78" s="65" t="str">
        <x:v>question</x:v>
      </x:c>
      <x:c r="R78" s="65" t="str">
        <x:v>Returned</x:v>
      </x:c>
      <x:c r="S78" s="65" t="str">
        <x:v>Returned</x:v>
      </x:c>
    </x:row>
    <x:row r="79">
      <x:c r="A79" s="65" t="str">
        <x:v>what is the difference between an api and a webhook</x:v>
      </x:c>
      <x:c r="B79" s="65" t="str">
        <x:v>APIs, integrations and data flow</x:v>
      </x:c>
      <x:c r="C79" s="65" t="str">
        <x:v>API versus webhook</x:v>
      </x:c>
      <x:c r="D79" s="59" t="n">
        <x:v>30</x:v>
      </x:c>
      <x:c r="E79" s="59" t="n">
        <x:v>20</x:v>
      </x:c>
      <x:c r="F79" s="61" t="n">
        <x:v>0.1</x:v>
      </x:c>
      <x:c r="G79" s="61" t="n">
        <x:v>0</x:v>
      </x:c>
      <x:c r="H79" s="63"/>
      <x:c r="I79" s="63" t="n">
        <x:v>0</x:v>
      </x:c>
      <x:c r="J79" s="63" t="n">
        <x:v>3</x:v>
      </x:c>
      <x:c r="K79" s="65" t="str">
        <x:v>Analyst review of wording, validated scope and supplied SERP context</x:v>
      </x:c>
      <x:c r="L79" s="65" t="str">
        <x:v>Exact learning query</x:v>
      </x:c>
      <x:c r="M79" s="65" t="str">
        <x:v>Include</x:v>
      </x:c>
      <x:c r="N79" s="65" t="str">
        <x:v>Relevant learning query mapped to a validated PM need.</x:v>
      </x:c>
      <x:c r="O79" s="65" t="str">
        <x:v>B — related/discovered</x:v>
      </x:c>
      <x:c r="P79" s="65" t="str">
        <x:v>What is the difference between API and webhook?</x:v>
      </x:c>
      <x:c r="Q79" s="65" t="str">
        <x:v>question</x:v>
      </x:c>
      <x:c r="R79" s="65" t="str">
        <x:v>Returned</x:v>
      </x:c>
      <x:c r="S79" s="65" t="str">
        <x:v>Returned</x:v>
      </x:c>
    </x:row>
    <x:row r="80">
      <x:c r="A80" s="65" t="str">
        <x:v>what is the difference between api and webhook</x:v>
      </x:c>
      <x:c r="B80" s="65" t="str">
        <x:v>APIs, integrations and data flow</x:v>
      </x:c>
      <x:c r="C80" s="65" t="str">
        <x:v>API versus webhook</x:v>
      </x:c>
      <x:c r="D80" s="59" t="n">
        <x:v>20</x:v>
      </x:c>
      <x:c r="E80" s="59" t="n">
        <x:v>20</x:v>
      </x:c>
      <x:c r="F80" s="61" t="n">
        <x:v>0</x:v>
      </x:c>
      <x:c r="G80" s="61" t="n">
        <x:v>0</x:v>
      </x:c>
      <x:c r="H80" s="63"/>
      <x:c r="I80" s="63" t="n">
        <x:v>0</x:v>
      </x:c>
      <x:c r="J80" s="63" t="n">
        <x:v>3</x:v>
      </x:c>
      <x:c r="K80" s="65" t="str">
        <x:v>Analyst review of wording, validated scope and supplied SERP context</x:v>
      </x:c>
      <x:c r="L80" s="65" t="str">
        <x:v>Exact learning query</x:v>
      </x:c>
      <x:c r="M80" s="65" t="str">
        <x:v>Include</x:v>
      </x:c>
      <x:c r="N80" s="65" t="str">
        <x:v>Relevant learning query mapped to a validated PM need.</x:v>
      </x:c>
      <x:c r="O80" s="65" t="str">
        <x:v>B — related/discovered</x:v>
      </x:c>
      <x:c r="P80" s="65" t="str">
        <x:v>What is the difference between API and webhook?</x:v>
      </x:c>
      <x:c r="Q80" s="65" t="str">
        <x:v>question</x:v>
      </x:c>
      <x:c r="R80" s="65" t="str">
        <x:v>Returned</x:v>
      </x:c>
      <x:c r="S80" s="65" t="str">
        <x:v>Returned</x:v>
      </x:c>
    </x:row>
    <x:row r="81">
      <x:c r="A81" s="65" t="str">
        <x:v>What is the difference between API and webhook?</x:v>
      </x:c>
      <x:c r="B81" s="65" t="str">
        <x:v>APIs, integrations and data flow</x:v>
      </x:c>
      <x:c r="C81" s="65" t="str">
        <x:v>API versus webhook</x:v>
      </x:c>
      <x:c r="D81" s="59" t="n">
        <x:v>20</x:v>
      </x:c>
      <x:c r="E81" s="59" t="n">
        <x:v>20</x:v>
      </x:c>
      <x:c r="F81" s="61" t="n">
        <x:v>0</x:v>
      </x:c>
      <x:c r="G81" s="61" t="n">
        <x:v>0</x:v>
      </x:c>
      <x:c r="H81" s="63" t="n">
        <x:v>0</x:v>
      </x:c>
      <x:c r="I81" s="63" t="n">
        <x:v>0</x:v>
      </x:c>
      <x:c r="J81" s="63" t="n">
        <x:v>3</x:v>
      </x:c>
      <x:c r="K81" s="65" t="str">
        <x:v>Carried forward from search-language research (Google People Also Ask)</x:v>
      </x:c>
      <x:c r="L81" s="65" t="str">
        <x:v>Exact learning query</x:v>
      </x:c>
      <x:c r="M81" s="65" t="str">
        <x:v>Include</x:v>
      </x:c>
      <x:c r="N81" s="65" t="str">
        <x:v>Relevant observed learning phrase mapped to a validated PM need.</x:v>
      </x:c>
      <x:c r="O81" s="65" t="str">
        <x:v>A — observed seed</x:v>
      </x:c>
      <x:c r="P81" s="65" t="str">
        <x:v>What is the difference between API and webhook?</x:v>
      </x:c>
      <x:c r="Q81" s="65" t="str">
        <x:v>Observed search-language seed</x:v>
      </x:c>
      <x:c r="R81" s="65" t="str">
        <x:v>Returned</x:v>
      </x:c>
      <x:c r="S81" s="65" t="str">
        <x:v>Returned</x:v>
      </x:c>
    </x:row>
    <x:row r="82">
      <x:c r="A82" s="65" t="str">
        <x:v>what is the difference between webhook and api</x:v>
      </x:c>
      <x:c r="B82" s="65" t="str">
        <x:v>APIs, integrations and data flow</x:v>
      </x:c>
      <x:c r="C82" s="65" t="str">
        <x:v>API versus webhook</x:v>
      </x:c>
      <x:c r="D82" s="59" t="n">
        <x:v>20</x:v>
      </x:c>
      <x:c r="E82" s="59" t="n">
        <x:v>20</x:v>
      </x:c>
      <x:c r="F82" s="61" t="n">
        <x:v>0</x:v>
      </x:c>
      <x:c r="G82" s="61" t="n">
        <x:v>0</x:v>
      </x:c>
      <x:c r="H82" s="63"/>
      <x:c r="I82" s="63" t="n">
        <x:v>0</x:v>
      </x:c>
      <x:c r="J82" s="63" t="n">
        <x:v>3</x:v>
      </x:c>
      <x:c r="K82" s="65" t="str">
        <x:v>Analyst review of wording, validated scope and supplied SERP context</x:v>
      </x:c>
      <x:c r="L82" s="65" t="str">
        <x:v>Exact learning query</x:v>
      </x:c>
      <x:c r="M82" s="65" t="str">
        <x:v>Include</x:v>
      </x:c>
      <x:c r="N82" s="65" t="str">
        <x:v>Relevant learning query mapped to a validated PM need.</x:v>
      </x:c>
      <x:c r="O82" s="65" t="str">
        <x:v>B — related/discovered</x:v>
      </x:c>
      <x:c r="P82" s="65" t="str">
        <x:v>What is the difference between API and webhook?</x:v>
      </x:c>
      <x:c r="Q82" s="65" t="str">
        <x:v>question</x:v>
      </x:c>
      <x:c r="R82" s="65" t="str">
        <x:v>Returned</x:v>
      </x:c>
      <x:c r="S82" s="65" t="str">
        <x:v>Returned</x:v>
      </x:c>
    </x:row>
    <x:row r="83">
      <x:c r="A83" s="65" t="str">
        <x:v>what is webhook vs api</x:v>
      </x:c>
      <x:c r="B83" s="65" t="str">
        <x:v>APIs, integrations and data flow</x:v>
      </x:c>
      <x:c r="C83" s="65" t="str">
        <x:v>API versus webhook</x:v>
      </x:c>
      <x:c r="D83" s="59" t="n">
        <x:v>20</x:v>
      </x:c>
      <x:c r="E83" s="59" t="n">
        <x:v>20</x:v>
      </x:c>
      <x:c r="F83" s="61" t="n">
        <x:v>0</x:v>
      </x:c>
      <x:c r="G83" s="61" t="n">
        <x:v>0</x:v>
      </x:c>
      <x:c r="H83" s="63"/>
      <x:c r="I83" s="63" t="n">
        <x:v>0</x:v>
      </x:c>
      <x:c r="J83" s="63" t="n">
        <x:v>3</x:v>
      </x:c>
      <x:c r="K83" s="65" t="str">
        <x:v>Analyst review of wording, validated scope and supplied SERP context</x:v>
      </x:c>
      <x:c r="L83" s="65" t="str">
        <x:v>Exact learning query</x:v>
      </x:c>
      <x:c r="M83" s="65" t="str">
        <x:v>Include</x:v>
      </x:c>
      <x:c r="N83" s="65" t="str">
        <x:v>Relevant learning query mapped to a validated PM need.</x:v>
      </x:c>
      <x:c r="O83" s="65" t="str">
        <x:v>B — related/discovered</x:v>
      </x:c>
      <x:c r="P83" s="65" t="str">
        <x:v>webhooks vs api</x:v>
      </x:c>
      <x:c r="Q83" s="65" t="str">
        <x:v>question</x:v>
      </x:c>
      <x:c r="R83" s="65" t="str">
        <x:v>Returned</x:v>
      </x:c>
      <x:c r="S83" s="65" t="str">
        <x:v>Returned</x:v>
      </x:c>
    </x:row>
    <x:row r="84">
      <x:c r="A84" s="65" t="str">
        <x:v>http status codes explained</x:v>
      </x:c>
      <x:c r="B84" s="65" t="str">
        <x:v>APIs, integrations and data flow</x:v>
      </x:c>
      <x:c r="C84" s="65" t="str">
        <x:v>HTTP responses and status codes</x:v>
      </x:c>
      <x:c r="D84" s="59" t="n">
        <x:v>20</x:v>
      </x:c>
      <x:c r="E84" s="59" t="n">
        <x:v>20</x:v>
      </x:c>
      <x:c r="F84" s="61" t="n">
        <x:v>0</x:v>
      </x:c>
      <x:c r="G84" s="61" t="n">
        <x:v>0</x:v>
      </x:c>
      <x:c r="H84" s="63" t="n">
        <x:v>0</x:v>
      </x:c>
      <x:c r="I84" s="63" t="n">
        <x:v>0</x:v>
      </x:c>
      <x:c r="J84" s="63" t="n">
        <x:v>2</x:v>
      </x:c>
      <x:c r="K84" s="65" t="str">
        <x:v>Carried forward from search-language research (Google + YouTube autocomplete)</x:v>
      </x:c>
      <x:c r="L84" s="65" t="str">
        <x:v>Exact learning query</x:v>
      </x:c>
      <x:c r="M84" s="65" t="str">
        <x:v>Include</x:v>
      </x:c>
      <x:c r="N84" s="65" t="str">
        <x:v>Relevant observed learning phrase mapped to a validated PM need.</x:v>
      </x:c>
      <x:c r="O84" s="65" t="str">
        <x:v>A — observed seed</x:v>
      </x:c>
      <x:c r="P84" s="65" t="str">
        <x:v>http status codes explained</x:v>
      </x:c>
      <x:c r="Q84" s="65" t="str">
        <x:v>Observed search-language seed</x:v>
      </x:c>
      <x:c r="R84" s="65" t="str">
        <x:v>Returned</x:v>
      </x:c>
      <x:c r="S84" s="65" t="str">
        <x:v>Returned</x:v>
      </x:c>
    </x:row>
    <x:row r="85">
      <x:c r="A85" s="65" t="str">
        <x:v>webhook explained simply</x:v>
      </x:c>
      <x:c r="B85" s="65" t="str">
        <x:v>APIs, integrations and data flow</x:v>
      </x:c>
      <x:c r="C85" s="65" t="str">
        <x:v>Webhook basics</x:v>
      </x:c>
      <x:c r="D85" s="59" t="n">
        <x:v>0</x:v>
      </x:c>
      <x:c r="E85" s="59"/>
      <x:c r="F85" s="61" t="n">
        <x:v>0</x:v>
      </x:c>
      <x:c r="G85" s="61"/>
      <x:c r="H85" s="63" t="n">
        <x:v>0</x:v>
      </x:c>
      <x:c r="I85" s="63"/>
      <x:c r="J85" s="63" t="n">
        <x:v>3</x:v>
      </x:c>
      <x:c r="K85" s="65" t="str">
        <x:v>Carried forward from search-language research (Google autocomplete (GB))</x:v>
      </x:c>
      <x:c r="L85" s="65" t="str">
        <x:v>Exact learning query</x:v>
      </x:c>
      <x:c r="M85" s="65" t="str">
        <x:v>Include</x:v>
      </x:c>
      <x:c r="N85" s="65" t="str">
        <x:v>Relevant observed learning phrase mapped to a validated PM need.</x:v>
      </x:c>
      <x:c r="O85" s="65" t="str">
        <x:v>A — observed seed</x:v>
      </x:c>
      <x:c r="P85" s="65" t="str">
        <x:v>webhook explained simply</x:v>
      </x:c>
      <x:c r="Q85" s="65" t="str">
        <x:v>Observed search-language seed</x:v>
      </x:c>
      <x:c r="R85" s="65" t="str">
        <x:v>Returned</x:v>
      </x:c>
      <x:c r="S85" s="65" t="str">
        <x:v>No row returned</x:v>
      </x:c>
    </x:row>
    <x:row r="86">
      <x:c r="A86" s="65" t="str">
        <x:v>what are webhooks</x:v>
      </x:c>
      <x:c r="B86" s="65" t="str">
        <x:v>APIs, integrations and data flow</x:v>
      </x:c>
      <x:c r="C86" s="65" t="str">
        <x:v>Webhook basics</x:v>
      </x:c>
      <x:c r="D86" s="59" t="n">
        <x:v>2400</x:v>
      </x:c>
      <x:c r="E86" s="59" t="n">
        <x:v>590</x:v>
      </x:c>
      <x:c r="F86" s="61" t="n">
        <x:v>0.45</x:v>
      </x:c>
      <x:c r="G86" s="61" t="n">
        <x:v>0.25</x:v>
      </x:c>
      <x:c r="H86" s="63"/>
      <x:c r="I86" s="63" t="n">
        <x:v>41</x:v>
      </x:c>
      <x:c r="J86" s="63" t="n">
        <x:v>3</x:v>
      </x:c>
      <x:c r="K86" s="65" t="str">
        <x:v>Analyst review of wording, validated scope and supplied SERP context</x:v>
      </x:c>
      <x:c r="L86" s="65" t="str">
        <x:v>Exact learning query</x:v>
      </x:c>
      <x:c r="M86" s="65" t="str">
        <x:v>Include</x:v>
      </x:c>
      <x:c r="N86" s="65" t="str">
        <x:v>Relevant learning query mapped to a validated PM need.</x:v>
      </x:c>
      <x:c r="O86" s="65" t="str">
        <x:v>B — related/discovered</x:v>
      </x:c>
      <x:c r="P86" s="65" t="str">
        <x:v>webhooks vs api</x:v>
      </x:c>
      <x:c r="Q86" s="65" t="str">
        <x:v>related</x:v>
      </x:c>
      <x:c r="R86" s="65" t="str">
        <x:v>Returned</x:v>
      </x:c>
      <x:c r="S86" s="65" t="str">
        <x:v>Returned</x:v>
      </x:c>
    </x:row>
    <x:row r="87">
      <x:c r="A87" s="65" t="str">
        <x:v>what are webhooks explained simply</x:v>
      </x:c>
      <x:c r="B87" s="65" t="str">
        <x:v>APIs, integrations and data flow</x:v>
      </x:c>
      <x:c r="C87" s="65" t="str">
        <x:v>Webhook basics</x:v>
      </x:c>
      <x:c r="D87" s="59" t="n">
        <x:v>0</x:v>
      </x:c>
      <x:c r="E87" s="59" t="n">
        <x:v>0</x:v>
      </x:c>
      <x:c r="F87" s="61" t="n">
        <x:v>0</x:v>
      </x:c>
      <x:c r="G87" s="61" t="n">
        <x:v>0</x:v>
      </x:c>
      <x:c r="H87" s="63"/>
      <x:c r="I87" s="63" t="n">
        <x:v>0</x:v>
      </x:c>
      <x:c r="J87" s="63" t="n">
        <x:v>3</x:v>
      </x:c>
      <x:c r="K87" s="65" t="str">
        <x:v>Analyst review of wording, validated scope and supplied SERP context</x:v>
      </x:c>
      <x:c r="L87" s="65" t="str">
        <x:v>Exact learning query</x:v>
      </x:c>
      <x:c r="M87" s="65" t="str">
        <x:v>Include</x:v>
      </x:c>
      <x:c r="N87" s="65" t="str">
        <x:v>Relevant to a validated PM need; retained despite zero or missing volume.</x:v>
      </x:c>
      <x:c r="O87" s="65" t="str">
        <x:v>B — related/discovered</x:v>
      </x:c>
      <x:c r="P87" s="65" t="str">
        <x:v>webhook explained simply</x:v>
      </x:c>
      <x:c r="Q87" s="65" t="str">
        <x:v>question</x:v>
      </x:c>
      <x:c r="R87" s="65" t="str">
        <x:v>Returned</x:v>
      </x:c>
      <x:c r="S87" s="65" t="str">
        <x:v>Returned</x:v>
      </x:c>
    </x:row>
    <x:row r="88">
      <x:c r="A88" s="65" t="str">
        <x:v>whats a webhook</x:v>
      </x:c>
      <x:c r="B88" s="65" t="str">
        <x:v>APIs, integrations and data flow</x:v>
      </x:c>
      <x:c r="C88" s="65" t="str">
        <x:v>Webhook basics</x:v>
      </x:c>
      <x:c r="D88" s="59" t="n">
        <x:v>390</x:v>
      </x:c>
      <x:c r="E88" s="59" t="n">
        <x:v>70</x:v>
      </x:c>
      <x:c r="F88" s="61" t="n">
        <x:v>1.09</x:v>
      </x:c>
      <x:c r="G88" s="61" t="n">
        <x:v>0.99</x:v>
      </x:c>
      <x:c r="H88" s="63"/>
      <x:c r="I88" s="63" t="n">
        <x:v>0</x:v>
      </x:c>
      <x:c r="J88" s="63" t="n">
        <x:v>3</x:v>
      </x:c>
      <x:c r="K88" s="65" t="str">
        <x:v>Analyst review of wording, validated scope and supplied SERP context</x:v>
      </x:c>
      <x:c r="L88" s="65" t="str">
        <x:v>Exact learning query</x:v>
      </x:c>
      <x:c r="M88" s="65" t="str">
        <x:v>Include</x:v>
      </x:c>
      <x:c r="N88" s="65" t="str">
        <x:v>Relevant learning query mapped to a validated PM need.</x:v>
      </x:c>
      <x:c r="O88" s="65" t="str">
        <x:v>B — related/discovered</x:v>
      </x:c>
      <x:c r="P88" s="65" t="str">
        <x:v>webhooks vs api</x:v>
      </x:c>
      <x:c r="Q88" s="65" t="str">
        <x:v>related</x:v>
      </x:c>
      <x:c r="R88" s="65" t="str">
        <x:v>Returned</x:v>
      </x:c>
      <x:c r="S88" s="65" t="str">
        <x:v>Returned</x:v>
      </x:c>
    </x:row>
    <x:row r="89">
      <x:c r="A89" s="65" t="str">
        <x:v>ci/cd news</x:v>
      </x:c>
      <x:c r="B89" s="65" t="str">
        <x:v>Development, testing and release</x:v>
      </x:c>
      <x:c r="C89" s="65" t="str">
        <x:v>CI/CD concepts and pipeline</x:v>
      </x:c>
      <x:c r="D89" s="59" t="n">
        <x:v>5400</x:v>
      </x:c>
      <x:c r="E89" s="59" t="n">
        <x:v>0</x:v>
      </x:c>
      <x:c r="F89" s="61" t="n">
        <x:v>0</x:v>
      </x:c>
      <x:c r="G89" s="61" t="n">
        <x:v>0</x:v>
      </x:c>
      <x:c r="H89" s="63"/>
      <x:c r="I89" s="63" t="n">
        <x:v>0</x:v>
      </x:c>
      <x:c r="J89" s="63" t="n">
        <x:v>1</x:v>
      </x:c>
      <x:c r="K89" s="65" t="str">
        <x:v>Analyst review of wording, validated scope and supplied SERP context</x:v>
      </x:c>
      <x:c r="L89" s="65" t="str">
        <x:v>Excluded</x:v>
      </x:c>
      <x:c r="M89" s="65" t="str">
        <x:v>Exclude</x:v>
      </x:c>
      <x:c r="N89" s="65" t="str">
        <x:v>News/navigation intent and predominantly specialist DevOps audience.</x:v>
      </x:c>
      <x:c r="O89" s="65" t="str">
        <x:v>B — related/discovered</x:v>
      </x:c>
      <x:c r="P89" s="65" t="str">
        <x:v>how does ci cd pipeline work</x:v>
      </x:c>
      <x:c r="Q89" s="65" t="str">
        <x:v>related</x:v>
      </x:c>
      <x:c r="R89" s="65" t="str">
        <x:v>Returned</x:v>
      </x:c>
      <x:c r="S89" s="65" t="str">
        <x:v>Returned</x:v>
      </x:c>
    </x:row>
    <x:row r="90">
      <x:c r="A90" s="65" t="str">
        <x:v>continuous integration tools</x:v>
      </x:c>
      <x:c r="B90" s="65" t="str">
        <x:v>Development, testing and release</x:v>
      </x:c>
      <x:c r="C90" s="65" t="str">
        <x:v>CI/CD concepts and pipeline</x:v>
      </x:c>
      <x:c r="D90" s="59" t="n">
        <x:v>14800</x:v>
      </x:c>
      <x:c r="E90" s="59" t="n">
        <x:v>140</x:v>
      </x:c>
      <x:c r="F90" s="61" t="n">
        <x:v>10.29</x:v>
      </x:c>
      <x:c r="G90" s="61" t="n">
        <x:v>5.25</x:v>
      </x:c>
      <x:c r="H90" s="63"/>
      <x:c r="I90" s="63" t="n">
        <x:v>42</x:v>
      </x:c>
      <x:c r="J90" s="63" t="n">
        <x:v>1</x:v>
      </x:c>
      <x:c r="K90" s="65" t="str">
        <x:v>Analyst review of wording, validated scope and supplied SERP context</x:v>
      </x:c>
      <x:c r="L90" s="65" t="str">
        <x:v>Excluded</x:v>
      </x:c>
      <x:c r="M90" s="65" t="str">
        <x:v>Exclude</x:v>
      </x:c>
      <x:c r="N90" s="65" t="str">
        <x:v>Developer/DevOps tool-selection intent rather than general technical fluency.</x:v>
      </x:c>
      <x:c r="O90" s="65" t="str">
        <x:v>B — related/discovered</x:v>
      </x:c>
      <x:c r="P90" s="65" t="str">
        <x:v>how does ci cd pipeline work</x:v>
      </x:c>
      <x:c r="Q90" s="65" t="str">
        <x:v>related</x:v>
      </x:c>
      <x:c r="R90" s="65" t="str">
        <x:v>Returned</x:v>
      </x:c>
      <x:c r="S90" s="65" t="str">
        <x:v>Returned</x:v>
      </x:c>
    </x:row>
    <x:row r="91">
      <x:c r="A91" s="65" t="str">
        <x:v>r continuous integration</x:v>
      </x:c>
      <x:c r="B91" s="65" t="str">
        <x:v>Development, testing and release</x:v>
      </x:c>
      <x:c r="C91" s="65" t="str">
        <x:v>CI/CD concepts and pipeline</x:v>
      </x:c>
      <x:c r="D91" s="59" t="n">
        <x:v>33100</x:v>
      </x:c>
      <x:c r="E91" s="59" t="n">
        <x:v>6600</x:v>
      </x:c>
      <x:c r="F91" s="61" t="n">
        <x:v>0.37</x:v>
      </x:c>
      <x:c r="G91" s="61" t="n">
        <x:v>1.25</x:v>
      </x:c>
      <x:c r="H91" s="63"/>
      <x:c r="I91" s="63" t="n">
        <x:v>26</x:v>
      </x:c>
      <x:c r="J91" s="63" t="n">
        <x:v>1</x:v>
      </x:c>
      <x:c r="K91" s="65" t="str">
        <x:v>Analyst review of wording, validated scope and supplied SERP context</x:v>
      </x:c>
      <x:c r="L91" s="65" t="str">
        <x:v>Excluded</x:v>
      </x:c>
      <x:c r="M91" s="65" t="str">
        <x:v>Exclude</x:v>
      </x:c>
      <x:c r="N91" s="65" t="str">
        <x:v>Programming-language-specific CI query; specialist developer/data intent.</x:v>
      </x:c>
      <x:c r="O91" s="65" t="str">
        <x:v>B — related/discovered</x:v>
      </x:c>
      <x:c r="P91" s="65" t="str">
        <x:v>how does ci cd pipeline work</x:v>
      </x:c>
      <x:c r="Q91" s="65" t="str">
        <x:v>related</x:v>
      </x:c>
      <x:c r="R91" s="65" t="str">
        <x:v>Returned</x:v>
      </x:c>
      <x:c r="S91" s="65" t="str">
        <x:v>Returned</x:v>
      </x:c>
    </x:row>
    <x:row r="92">
      <x:c r="A92" s="65" t="str">
        <x:v>ci cd</x:v>
      </x:c>
      <x:c r="B92" s="65" t="str">
        <x:v>Development, testing and release</x:v>
      </x:c>
      <x:c r="C92" s="65" t="str">
        <x:v>CI/CD concepts and pipeline</x:v>
      </x:c>
      <x:c r="D92" s="59" t="n">
        <x:v>8100</x:v>
      </x:c>
      <x:c r="E92" s="59" t="n">
        <x:v>2400</x:v>
      </x:c>
      <x:c r="F92" s="61" t="n">
        <x:v>2.92</x:v>
      </x:c>
      <x:c r="G92" s="61" t="n">
        <x:v>1.68</x:v>
      </x:c>
      <x:c r="H92" s="63"/>
      <x:c r="I92" s="63" t="n">
        <x:v>59</x:v>
      </x:c>
      <x:c r="J92" s="63" t="n">
        <x:v>1</x:v>
      </x:c>
      <x:c r="K92" s="65" t="str">
        <x:v>Analyst review of wording, validated scope and supplied SERP context</x:v>
      </x:c>
      <x:c r="L92" s="65" t="str">
        <x:v>Broad category term</x:v>
      </x:c>
      <x:c r="M92" s="65" t="str">
        <x:v>Include</x:v>
      </x:c>
      <x:c r="N92" s="65" t="str">
        <x:v>Relevant broad category; retained but kept separate from exact learning demand.</x:v>
      </x:c>
      <x:c r="O92" s="65" t="str">
        <x:v>B — related/discovered</x:v>
      </x:c>
      <x:c r="P92" s="65" t="str">
        <x:v>how does ci cd pipeline work</x:v>
      </x:c>
      <x:c r="Q92" s="65" t="str">
        <x:v>related</x:v>
      </x:c>
      <x:c r="R92" s="65" t="str">
        <x:v>Returned</x:v>
      </x:c>
      <x:c r="S92" s="65" t="str">
        <x:v>Returned</x:v>
      </x:c>
    </x:row>
    <x:row r="93">
      <x:c r="A93" s="65" t="str">
        <x:v>ci cd explained for beginners</x:v>
      </x:c>
      <x:c r="B93" s="65" t="str">
        <x:v>Development, testing and release</x:v>
      </x:c>
      <x:c r="C93" s="65" t="str">
        <x:v>CI/CD concepts and pipeline</x:v>
      </x:c>
      <x:c r="D93" s="59" t="n">
        <x:v>0</x:v>
      </x:c>
      <x:c r="E93" s="59"/>
      <x:c r="F93" s="61" t="n">
        <x:v>0</x:v>
      </x:c>
      <x:c r="G93" s="61"/>
      <x:c r="H93" s="63" t="n">
        <x:v>0</x:v>
      </x:c>
      <x:c r="I93" s="63"/>
      <x:c r="J93" s="63" t="n">
        <x:v>3</x:v>
      </x:c>
      <x:c r="K93" s="65" t="str">
        <x:v>Carried forward from search-language research (Google autocomplete (GB))</x:v>
      </x:c>
      <x:c r="L93" s="65" t="str">
        <x:v>Exact learning query</x:v>
      </x:c>
      <x:c r="M93" s="65" t="str">
        <x:v>Include</x:v>
      </x:c>
      <x:c r="N93" s="65" t="str">
        <x:v>Relevant observed learning phrase mapped to a validated PM need.</x:v>
      </x:c>
      <x:c r="O93" s="65" t="str">
        <x:v>A — observed seed</x:v>
      </x:c>
      <x:c r="P93" s="65" t="str">
        <x:v>ci cd explained for beginners</x:v>
      </x:c>
      <x:c r="Q93" s="65" t="str">
        <x:v>Observed search-language seed</x:v>
      </x:c>
      <x:c r="R93" s="65" t="str">
        <x:v>Returned</x:v>
      </x:c>
      <x:c r="S93" s="65" t="str">
        <x:v>No row returned</x:v>
      </x:c>
    </x:row>
    <x:row r="94">
      <x:c r="A94" s="65" t="str">
        <x:v>ci cd explained simply</x:v>
      </x:c>
      <x:c r="B94" s="65" t="str">
        <x:v>Development, testing and release</x:v>
      </x:c>
      <x:c r="C94" s="65" t="str">
        <x:v>CI/CD concepts and pipeline</x:v>
      </x:c>
      <x:c r="D94" s="59" t="n">
        <x:v>10</x:v>
      </x:c>
      <x:c r="E94" s="59" t="n">
        <x:v>10</x:v>
      </x:c>
      <x:c r="F94" s="61" t="n">
        <x:v>0</x:v>
      </x:c>
      <x:c r="G94" s="61" t="n">
        <x:v>0</x:v>
      </x:c>
      <x:c r="H94" s="63" t="n">
        <x:v>0</x:v>
      </x:c>
      <x:c r="I94" s="63" t="n">
        <x:v>0</x:v>
      </x:c>
      <x:c r="J94" s="63" t="n">
        <x:v>3</x:v>
      </x:c>
      <x:c r="K94" s="65" t="str">
        <x:v>Carried forward from search-language research (Google autocomplete (GB))</x:v>
      </x:c>
      <x:c r="L94" s="65" t="str">
        <x:v>Exact learning query</x:v>
      </x:c>
      <x:c r="M94" s="65" t="str">
        <x:v>Include</x:v>
      </x:c>
      <x:c r="N94" s="65" t="str">
        <x:v>Relevant observed learning phrase mapped to a validated PM need.</x:v>
      </x:c>
      <x:c r="O94" s="65" t="str">
        <x:v>A — observed seed</x:v>
      </x:c>
      <x:c r="P94" s="65" t="str">
        <x:v>ci cd explained simply</x:v>
      </x:c>
      <x:c r="Q94" s="65" t="str">
        <x:v>Observed search-language seed</x:v>
      </x:c>
      <x:c r="R94" s="65" t="str">
        <x:v>Returned</x:v>
      </x:c>
      <x:c r="S94" s="65" t="str">
        <x:v>Returned</x:v>
      </x:c>
    </x:row>
    <x:row r="95">
      <x:c r="A95" s="65" t="str">
        <x:v>ci/cd</x:v>
      </x:c>
      <x:c r="B95" s="65" t="str">
        <x:v>Development, testing and release</x:v>
      </x:c>
      <x:c r="C95" s="65" t="str">
        <x:v>CI/CD concepts and pipeline</x:v>
      </x:c>
      <x:c r="D95" s="59" t="n">
        <x:v>14800</x:v>
      </x:c>
      <x:c r="E95" s="59" t="n">
        <x:v>3600</x:v>
      </x:c>
      <x:c r="F95" s="61" t="n">
        <x:v>2.92</x:v>
      </x:c>
      <x:c r="G95" s="61" t="n">
        <x:v>1.68</x:v>
      </x:c>
      <x:c r="H95" s="63"/>
      <x:c r="I95" s="63" t="n">
        <x:v>59</x:v>
      </x:c>
      <x:c r="J95" s="63" t="n">
        <x:v>1</x:v>
      </x:c>
      <x:c r="K95" s="65" t="str">
        <x:v>Analyst review of wording, validated scope and supplied SERP context</x:v>
      </x:c>
      <x:c r="L95" s="65" t="str">
        <x:v>Broad category term</x:v>
      </x:c>
      <x:c r="M95" s="65" t="str">
        <x:v>Include</x:v>
      </x:c>
      <x:c r="N95" s="65" t="str">
        <x:v>Relevant broad category; retained but kept separate from exact learning demand.</x:v>
      </x:c>
      <x:c r="O95" s="65" t="str">
        <x:v>B — related/discovered</x:v>
      </x:c>
      <x:c r="P95" s="65" t="str">
        <x:v>how does ci cd pipeline work</x:v>
      </x:c>
      <x:c r="Q95" s="65" t="str">
        <x:v>related</x:v>
      </x:c>
      <x:c r="R95" s="65" t="str">
        <x:v>Returned</x:v>
      </x:c>
      <x:c r="S95" s="65" t="str">
        <x:v>Returned</x:v>
      </x:c>
    </x:row>
    <x:row r="96">
      <x:c r="A96" s="65" t="str">
        <x:v>cicd</x:v>
      </x:c>
      <x:c r="B96" s="65" t="str">
        <x:v>Development, testing and release</x:v>
      </x:c>
      <x:c r="C96" s="65" t="str">
        <x:v>CI/CD concepts and pipeline</x:v>
      </x:c>
      <x:c r="D96" s="59" t="n">
        <x:v>9900</x:v>
      </x:c>
      <x:c r="E96" s="59" t="n">
        <x:v>2400</x:v>
      </x:c>
      <x:c r="F96" s="61" t="n">
        <x:v>2.92</x:v>
      </x:c>
      <x:c r="G96" s="61" t="n">
        <x:v>1.68</x:v>
      </x:c>
      <x:c r="H96" s="63"/>
      <x:c r="I96" s="63" t="n">
        <x:v>61</x:v>
      </x:c>
      <x:c r="J96" s="63" t="n">
        <x:v>1</x:v>
      </x:c>
      <x:c r="K96" s="65" t="str">
        <x:v>Analyst review of wording, validated scope and supplied SERP context</x:v>
      </x:c>
      <x:c r="L96" s="65" t="str">
        <x:v>Broad category term</x:v>
      </x:c>
      <x:c r="M96" s="65" t="str">
        <x:v>Include</x:v>
      </x:c>
      <x:c r="N96" s="65" t="str">
        <x:v>Relevant broad category; retained but kept separate from exact learning demand.</x:v>
      </x:c>
      <x:c r="O96" s="65" t="str">
        <x:v>B — related/discovered</x:v>
      </x:c>
      <x:c r="P96" s="65" t="str">
        <x:v>how does ci cd pipeline work</x:v>
      </x:c>
      <x:c r="Q96" s="65" t="str">
        <x:v>related</x:v>
      </x:c>
      <x:c r="R96" s="65" t="str">
        <x:v>Returned</x:v>
      </x:c>
      <x:c r="S96" s="65" t="str">
        <x:v>Returned</x:v>
      </x:c>
    </x:row>
    <x:row r="97">
      <x:c r="A97" s="65" t="str">
        <x:v>continuous deployment</x:v>
      </x:c>
      <x:c r="B97" s="65" t="str">
        <x:v>Development, testing and release</x:v>
      </x:c>
      <x:c r="C97" s="65" t="str">
        <x:v>CI/CD concepts and pipeline</x:v>
      </x:c>
      <x:c r="D97" s="59" t="n">
        <x:v>6600</x:v>
      </x:c>
      <x:c r="E97" s="59" t="n">
        <x:v>260</x:v>
      </x:c>
      <x:c r="F97" s="61" t="n">
        <x:v>5.09</x:v>
      </x:c>
      <x:c r="G97" s="61" t="n">
        <x:v>1.93</x:v>
      </x:c>
      <x:c r="H97" s="63"/>
      <x:c r="I97" s="63" t="n">
        <x:v>53</x:v>
      </x:c>
      <x:c r="J97" s="63" t="n">
        <x:v>1</x:v>
      </x:c>
      <x:c r="K97" s="65" t="str">
        <x:v>Analyst review of wording, validated scope and supplied SERP context</x:v>
      </x:c>
      <x:c r="L97" s="65" t="str">
        <x:v>Broad category term</x:v>
      </x:c>
      <x:c r="M97" s="65" t="str">
        <x:v>Include</x:v>
      </x:c>
      <x:c r="N97" s="65" t="str">
        <x:v>Relevant broad category; retained but kept separate from exact learning demand.</x:v>
      </x:c>
      <x:c r="O97" s="65" t="str">
        <x:v>B — related/discovered</x:v>
      </x:c>
      <x:c r="P97" s="65" t="str">
        <x:v>how does ci cd pipeline work</x:v>
      </x:c>
      <x:c r="Q97" s="65" t="str">
        <x:v>related</x:v>
      </x:c>
      <x:c r="R97" s="65" t="str">
        <x:v>Returned</x:v>
      </x:c>
      <x:c r="S97" s="65" t="str">
        <x:v>Returned</x:v>
      </x:c>
    </x:row>
    <x:row r="98">
      <x:c r="A98" s="65" t="str">
        <x:v>continuous integration</x:v>
      </x:c>
      <x:c r="B98" s="65" t="str">
        <x:v>Development, testing and release</x:v>
      </x:c>
      <x:c r="C98" s="65" t="str">
        <x:v>CI/CD concepts and pipeline</x:v>
      </x:c>
      <x:c r="D98" s="59" t="n">
        <x:v>12100</x:v>
      </x:c>
      <x:c r="E98" s="59" t="n">
        <x:v>2900</x:v>
      </x:c>
      <x:c r="F98" s="61" t="n">
        <x:v>2.97</x:v>
      </x:c>
      <x:c r="G98" s="61" t="n">
        <x:v>4.18</x:v>
      </x:c>
      <x:c r="H98" s="63"/>
      <x:c r="I98" s="63" t="n">
        <x:v>81</x:v>
      </x:c>
      <x:c r="J98" s="63" t="n">
        <x:v>1</x:v>
      </x:c>
      <x:c r="K98" s="65" t="str">
        <x:v>Analyst review of wording, validated scope and supplied SERP context</x:v>
      </x:c>
      <x:c r="L98" s="65" t="str">
        <x:v>Broad category term</x:v>
      </x:c>
      <x:c r="M98" s="65" t="str">
        <x:v>Include</x:v>
      </x:c>
      <x:c r="N98" s="65" t="str">
        <x:v>Relevant broad category; retained but kept separate from exact learning demand.</x:v>
      </x:c>
      <x:c r="O98" s="65" t="str">
        <x:v>B — related/discovered</x:v>
      </x:c>
      <x:c r="P98" s="65" t="str">
        <x:v>how does ci cd pipeline work</x:v>
      </x:c>
      <x:c r="Q98" s="65" t="str">
        <x:v>related</x:v>
      </x:c>
      <x:c r="R98" s="65" t="str">
        <x:v>Returned</x:v>
      </x:c>
      <x:c r="S98" s="65" t="str">
        <x:v>Returned</x:v>
      </x:c>
    </x:row>
    <x:row r="99">
      <x:c r="A99" s="65" t="str">
        <x:v>how does a ci cd pipeline work</x:v>
      </x:c>
      <x:c r="B99" s="65" t="str">
        <x:v>Development, testing and release</x:v>
      </x:c>
      <x:c r="C99" s="65" t="str">
        <x:v>CI/CD concepts and pipeline</x:v>
      </x:c>
      <x:c r="D99" s="59" t="n">
        <x:v>30</x:v>
      </x:c>
      <x:c r="E99" s="59" t="n">
        <x:v>20</x:v>
      </x:c>
      <x:c r="F99" s="61" t="n">
        <x:v>0</x:v>
      </x:c>
      <x:c r="G99" s="61" t="n">
        <x:v>0</x:v>
      </x:c>
      <x:c r="H99" s="63"/>
      <x:c r="I99" s="63" t="n">
        <x:v>0</x:v>
      </x:c>
      <x:c r="J99" s="63" t="n">
        <x:v>1</x:v>
      </x:c>
      <x:c r="K99" s="65" t="str">
        <x:v>Analyst review of wording, validated scope and supplied SERP context</x:v>
      </x:c>
      <x:c r="L99" s="65" t="str">
        <x:v>Exact learning query</x:v>
      </x:c>
      <x:c r="M99" s="65" t="str">
        <x:v>Include</x:v>
      </x:c>
      <x:c r="N99" s="65" t="str">
        <x:v>Relevant learning query mapped to a validated PM need.</x:v>
      </x:c>
      <x:c r="O99" s="65" t="str">
        <x:v>B — related/discovered</x:v>
      </x:c>
      <x:c r="P99" s="65" t="str">
        <x:v>how does ci cd pipeline work</x:v>
      </x:c>
      <x:c r="Q99" s="65" t="str">
        <x:v>question</x:v>
      </x:c>
      <x:c r="R99" s="65" t="str">
        <x:v>Returned</x:v>
      </x:c>
      <x:c r="S99" s="65" t="str">
        <x:v>Returned</x:v>
      </x:c>
    </x:row>
    <x:row r="100">
      <x:c r="A100" s="65" t="str">
        <x:v>how does ci cd pipeline work</x:v>
      </x:c>
      <x:c r="B100" s="65" t="str">
        <x:v>Development, testing and release</x:v>
      </x:c>
      <x:c r="C100" s="65" t="str">
        <x:v>CI/CD concepts and pipeline</x:v>
      </x:c>
      <x:c r="D100" s="59" t="n">
        <x:v>40</x:v>
      </x:c>
      <x:c r="E100" s="59" t="n">
        <x:v>20</x:v>
      </x:c>
      <x:c r="F100" s="61" t="n">
        <x:v>1.7</x:v>
      </x:c>
      <x:c r="G100" s="61" t="n">
        <x:v>0</x:v>
      </x:c>
      <x:c r="H100" s="63" t="n">
        <x:v>45</x:v>
      </x:c>
      <x:c r="I100" s="63" t="n">
        <x:v>0</x:v>
      </x:c>
      <x:c r="J100" s="63" t="n">
        <x:v>2</x:v>
      </x:c>
      <x:c r="K100" s="65" t="str">
        <x:v>Carried forward from search-language research (Google + YouTube autocomplete)</x:v>
      </x:c>
      <x:c r="L100" s="65" t="str">
        <x:v>Exact learning query</x:v>
      </x:c>
      <x:c r="M100" s="65" t="str">
        <x:v>Include</x:v>
      </x:c>
      <x:c r="N100" s="65" t="str">
        <x:v>Relevant observed learning phrase mapped to a validated PM need.</x:v>
      </x:c>
      <x:c r="O100" s="65" t="str">
        <x:v>A — observed seed</x:v>
      </x:c>
      <x:c r="P100" s="65" t="str">
        <x:v>how does ci cd pipeline work</x:v>
      </x:c>
      <x:c r="Q100" s="65" t="str">
        <x:v>Observed search-language seed</x:v>
      </x:c>
      <x:c r="R100" s="65" t="str">
        <x:v>Returned</x:v>
      </x:c>
      <x:c r="S100" s="65" t="str">
        <x:v>Returned</x:v>
      </x:c>
    </x:row>
    <x:row r="101">
      <x:c r="A101" s="65" t="str">
        <x:v>how does ci/cd pipeline work</x:v>
      </x:c>
      <x:c r="B101" s="65" t="str">
        <x:v>Development, testing and release</x:v>
      </x:c>
      <x:c r="C101" s="65" t="str">
        <x:v>CI/CD concepts and pipeline</x:v>
      </x:c>
      <x:c r="D101" s="59" t="n">
        <x:v>10</x:v>
      </x:c>
      <x:c r="E101" s="59" t="n">
        <x:v>0</x:v>
      </x:c>
      <x:c r="F101" s="61" t="n">
        <x:v>1.12</x:v>
      </x:c>
      <x:c r="G101" s="61" t="n">
        <x:v>0</x:v>
      </x:c>
      <x:c r="H101" s="63"/>
      <x:c r="I101" s="63" t="n">
        <x:v>0</x:v>
      </x:c>
      <x:c r="J101" s="63" t="n">
        <x:v>1</x:v>
      </x:c>
      <x:c r="K101" s="65" t="str">
        <x:v>Analyst review of wording, validated scope and supplied SERP context</x:v>
      </x:c>
      <x:c r="L101" s="65" t="str">
        <x:v>Exact learning query</x:v>
      </x:c>
      <x:c r="M101" s="65" t="str">
        <x:v>Include</x:v>
      </x:c>
      <x:c r="N101" s="65" t="str">
        <x:v>Relevant learning query mapped to a validated PM need.</x:v>
      </x:c>
      <x:c r="O101" s="65" t="str">
        <x:v>B — related/discovered</x:v>
      </x:c>
      <x:c r="P101" s="65" t="str">
        <x:v>how does ci cd pipeline work</x:v>
      </x:c>
      <x:c r="Q101" s="65" t="str">
        <x:v>question</x:v>
      </x:c>
      <x:c r="R101" s="65" t="str">
        <x:v>Returned</x:v>
      </x:c>
      <x:c r="S101" s="65" t="str">
        <x:v>Returned</x:v>
      </x:c>
    </x:row>
    <x:row r="102">
      <x:c r="A102" s="65" t="str">
        <x:v>what is ci/cd explained simply</x:v>
      </x:c>
      <x:c r="B102" s="65" t="str">
        <x:v>Development, testing and release</x:v>
      </x:c>
      <x:c r="C102" s="65" t="str">
        <x:v>CI/CD concepts and pipeline</x:v>
      </x:c>
      <x:c r="D102" s="59" t="n">
        <x:v>0</x:v>
      </x:c>
      <x:c r="E102" s="59"/>
      <x:c r="F102" s="61" t="n">
        <x:v>0</x:v>
      </x:c>
      <x:c r="G102" s="61"/>
      <x:c r="H102" s="63"/>
      <x:c r="I102" s="63"/>
      <x:c r="J102" s="63" t="n">
        <x:v>1</x:v>
      </x:c>
      <x:c r="K102" s="65" t="str">
        <x:v>Analyst review of wording, validated scope and supplied SERP context</x:v>
      </x:c>
      <x:c r="L102" s="65" t="str">
        <x:v>Exact learning query</x:v>
      </x:c>
      <x:c r="M102" s="65" t="str">
        <x:v>Include</x:v>
      </x:c>
      <x:c r="N102" s="65" t="str">
        <x:v>Relevant to a validated PM need; retained despite zero or missing volume.</x:v>
      </x:c>
      <x:c r="O102" s="65" t="str">
        <x:v>B — related/discovered</x:v>
      </x:c>
      <x:c r="P102" s="65" t="str">
        <x:v>ci cd explained simply</x:v>
      </x:c>
      <x:c r="Q102" s="65" t="str">
        <x:v>question</x:v>
      </x:c>
      <x:c r="R102" s="65" t="str">
        <x:v>Returned</x:v>
      </x:c>
      <x:c r="S102" s="65" t="str">
        <x:v>No row returned</x:v>
      </x:c>
    </x:row>
    <x:row r="103">
      <x:c r="A103" s="65" t="str">
        <x:v>github workflow explained</x:v>
      </x:c>
      <x:c r="B103" s="65" t="str">
        <x:v>Development, testing and release</x:v>
      </x:c>
      <x:c r="C103" s="65" t="str">
        <x:v>Code review, pull requests and Git workflow</x:v>
      </x:c>
      <x:c r="D103" s="59" t="n">
        <x:v>20</x:v>
      </x:c>
      <x:c r="E103" s="59" t="n">
        <x:v>20</x:v>
      </x:c>
      <x:c r="F103" s="61" t="n">
        <x:v>0</x:v>
      </x:c>
      <x:c r="G103" s="61" t="n">
        <x:v>0</x:v>
      </x:c>
      <x:c r="H103" s="63" t="n">
        <x:v>0</x:v>
      </x:c>
      <x:c r="I103" s="63" t="n">
        <x:v>0</x:v>
      </x:c>
      <x:c r="J103" s="63" t="n">
        <x:v>2</x:v>
      </x:c>
      <x:c r="K103" s="65" t="str">
        <x:v>Carried forward from search-language research (Google + YouTube autocomplete)</x:v>
      </x:c>
      <x:c r="L103" s="65" t="str">
        <x:v>Exact learning query</x:v>
      </x:c>
      <x:c r="M103" s="65" t="str">
        <x:v>Include</x:v>
      </x:c>
      <x:c r="N103" s="65" t="str">
        <x:v>Relevant observed learning phrase mapped to a validated PM need.</x:v>
      </x:c>
      <x:c r="O103" s="65" t="str">
        <x:v>A — observed seed</x:v>
      </x:c>
      <x:c r="P103" s="65" t="str">
        <x:v>github workflow explained</x:v>
      </x:c>
      <x:c r="Q103" s="65" t="str">
        <x:v>Observed search-language seed</x:v>
      </x:c>
      <x:c r="R103" s="65" t="str">
        <x:v>Returned</x:v>
      </x:c>
      <x:c r="S103" s="65" t="str">
        <x:v>Returned</x:v>
      </x:c>
    </x:row>
    <x:row r="104">
      <x:c r="A104" s="65" t="str">
        <x:v>how does a code review work</x:v>
      </x:c>
      <x:c r="B104" s="65" t="str">
        <x:v>Development, testing and release</x:v>
      </x:c>
      <x:c r="C104" s="65" t="str">
        <x:v>Code review, pull requests and Git workflow</x:v>
      </x:c>
      <x:c r="D104" s="59" t="n">
        <x:v>0</x:v>
      </x:c>
      <x:c r="E104" s="59" t="n">
        <x:v>0</x:v>
      </x:c>
      <x:c r="F104" s="61" t="n">
        <x:v>0</x:v>
      </x:c>
      <x:c r="G104" s="61" t="n">
        <x:v>0</x:v>
      </x:c>
      <x:c r="H104" s="63" t="n">
        <x:v>0</x:v>
      </x:c>
      <x:c r="I104" s="63" t="n">
        <x:v>0</x:v>
      </x:c>
      <x:c r="J104" s="63" t="n">
        <x:v>3</x:v>
      </x:c>
      <x:c r="K104" s="65" t="str">
        <x:v>Carried forward from search-language research (Google autocomplete (GB))</x:v>
      </x:c>
      <x:c r="L104" s="65" t="str">
        <x:v>Exact learning query</x:v>
      </x:c>
      <x:c r="M104" s="65" t="str">
        <x:v>Include</x:v>
      </x:c>
      <x:c r="N104" s="65" t="str">
        <x:v>Relevant observed learning phrase mapped to a validated PM need.</x:v>
      </x:c>
      <x:c r="O104" s="65" t="str">
        <x:v>A — observed seed</x:v>
      </x:c>
      <x:c r="P104" s="65" t="str">
        <x:v>how does a code review work</x:v>
      </x:c>
      <x:c r="Q104" s="65" t="str">
        <x:v>Observed search-language seed</x:v>
      </x:c>
      <x:c r="R104" s="65" t="str">
        <x:v>Returned</x:v>
      </x:c>
      <x:c r="S104" s="65" t="str">
        <x:v>Returned</x:v>
      </x:c>
    </x:row>
    <x:row r="105">
      <x:c r="A105" s="65" t="str">
        <x:v>pull request explained</x:v>
      </x:c>
      <x:c r="B105" s="65" t="str">
        <x:v>Development, testing and release</x:v>
      </x:c>
      <x:c r="C105" s="65" t="str">
        <x:v>Code review, pull requests and Git workflow</x:v>
      </x:c>
      <x:c r="D105" s="59" t="n">
        <x:v>20</x:v>
      </x:c>
      <x:c r="E105" s="59" t="n">
        <x:v>10</x:v>
      </x:c>
      <x:c r="F105" s="61" t="n">
        <x:v>0</x:v>
      </x:c>
      <x:c r="G105" s="61" t="n">
        <x:v>0</x:v>
      </x:c>
      <x:c r="H105" s="63" t="n">
        <x:v>0</x:v>
      </x:c>
      <x:c r="I105" s="63" t="n">
        <x:v>0</x:v>
      </x:c>
      <x:c r="J105" s="63" t="n">
        <x:v>2</x:v>
      </x:c>
      <x:c r="K105" s="65" t="str">
        <x:v>Carried forward from search-language research (Google + YouTube autocomplete)</x:v>
      </x:c>
      <x:c r="L105" s="65" t="str">
        <x:v>Exact learning query</x:v>
      </x:c>
      <x:c r="M105" s="65" t="str">
        <x:v>Include</x:v>
      </x:c>
      <x:c r="N105" s="65" t="str">
        <x:v>Relevant observed learning phrase mapped to a validated PM need.</x:v>
      </x:c>
      <x:c r="O105" s="65" t="str">
        <x:v>A — observed seed</x:v>
      </x:c>
      <x:c r="P105" s="65" t="str">
        <x:v>pull request explained</x:v>
      </x:c>
      <x:c r="Q105" s="65" t="str">
        <x:v>Observed search-language seed</x:v>
      </x:c>
      <x:c r="R105" s="65" t="str">
        <x:v>Returned</x:v>
      </x:c>
      <x:c r="S105" s="65" t="str">
        <x:v>Returned</x:v>
      </x:c>
    </x:row>
    <x:row r="106">
      <x:c r="A106" s="65" t="str">
        <x:v>do i need two yoast liscences for production vs staging</x:v>
      </x:c>
      <x:c r="B106" s="65" t="str">
        <x:v>Development, testing and release</x:v>
      </x:c>
      <x:c r="C106" s="65" t="str">
        <x:v>Development, test, staging and production environments</x:v>
      </x:c>
      <x:c r="D106" s="59" t="n">
        <x:v>0</x:v>
      </x:c>
      <x:c r="E106" s="59"/>
      <x:c r="F106" s="61" t="n">
        <x:v>0</x:v>
      </x:c>
      <x:c r="G106" s="61"/>
      <x:c r="H106" s="63"/>
      <x:c r="I106" s="63"/>
      <x:c r="J106" s="63" t="n">
        <x:v>1</x:v>
      </x:c>
      <x:c r="K106" s="65" t="str">
        <x:v>Analyst review of wording, validated scope and supplied SERP context</x:v>
      </x:c>
      <x:c r="L106" s="65" t="str">
        <x:v>Excluded</x:v>
      </x:c>
      <x:c r="M106" s="65" t="str">
        <x:v>Exclude</x:v>
      </x:c>
      <x:c r="N106" s="65" t="str">
        <x:v>Product-specific configuration query with a typo; not a general learning need.</x:v>
      </x:c>
      <x:c r="O106" s="65" t="str">
        <x:v>B — related/discovered</x:v>
      </x:c>
      <x:c r="P106" s="65" t="str">
        <x:v>staging vs production</x:v>
      </x:c>
      <x:c r="Q106" s="65" t="str">
        <x:v>question</x:v>
      </x:c>
      <x:c r="R106" s="65" t="str">
        <x:v>Returned</x:v>
      </x:c>
      <x:c r="S106" s="65" t="str">
        <x:v>No row returned</x:v>
      </x:c>
    </x:row>
    <x:row r="107">
      <x:c r="A107" s="65" t="str">
        <x:v>how to create rapidpro staging vs rapid pro production</x:v>
      </x:c>
      <x:c r="B107" s="65" t="str">
        <x:v>Development, testing and release</x:v>
      </x:c>
      <x:c r="C107" s="65" t="str">
        <x:v>Development, test, staging and production environments</x:v>
      </x:c>
      <x:c r="D107" s="59" t="n">
        <x:v>0</x:v>
      </x:c>
      <x:c r="E107" s="59"/>
      <x:c r="F107" s="61" t="n">
        <x:v>0</x:v>
      </x:c>
      <x:c r="G107" s="61"/>
      <x:c r="H107" s="63"/>
      <x:c r="I107" s="63"/>
      <x:c r="J107" s="63" t="n">
        <x:v>1</x:v>
      </x:c>
      <x:c r="K107" s="65" t="str">
        <x:v>Analyst review of wording, validated scope and supplied SERP context</x:v>
      </x:c>
      <x:c r="L107" s="65" t="str">
        <x:v>Excluded</x:v>
      </x:c>
      <x:c r="M107" s="65" t="str">
        <x:v>Exclude</x:v>
      </x:c>
      <x:c r="N107" s="65" t="str">
        <x:v>Product-specific configuration query, not general deployment learning.</x:v>
      </x:c>
      <x:c r="O107" s="65" t="str">
        <x:v>B — related/discovered</x:v>
      </x:c>
      <x:c r="P107" s="65" t="str">
        <x:v>staging vs production</x:v>
      </x:c>
      <x:c r="Q107" s="65" t="str">
        <x:v>question</x:v>
      </x:c>
      <x:c r="R107" s="65" t="str">
        <x:v>Returned</x:v>
      </x:c>
      <x:c r="S107" s="65" t="str">
        <x:v>No row returned</x:v>
      </x:c>
    </x:row>
    <x:row r="108">
      <x:c r="A108" s="65" t="str">
        <x:v>how to use containers in staging vs production</x:v>
      </x:c>
      <x:c r="B108" s="65" t="str">
        <x:v>Development, testing and release</x:v>
      </x:c>
      <x:c r="C108" s="65" t="str">
        <x:v>Development, test, staging and production environments</x:v>
      </x:c>
      <x:c r="D108" s="59" t="n">
        <x:v>0</x:v>
      </x:c>
      <x:c r="E108" s="59"/>
      <x:c r="F108" s="61" t="n">
        <x:v>0</x:v>
      </x:c>
      <x:c r="G108" s="61"/>
      <x:c r="H108" s="63"/>
      <x:c r="I108" s="63"/>
      <x:c r="J108" s="63" t="n">
        <x:v>1</x:v>
      </x:c>
      <x:c r="K108" s="65" t="str">
        <x:v>Analyst review of wording, validated scope and supplied SERP context</x:v>
      </x:c>
      <x:c r="L108" s="65" t="str">
        <x:v>Excluded</x:v>
      </x:c>
      <x:c r="M108" s="65" t="str">
        <x:v>Exclude</x:v>
      </x:c>
      <x:c r="N108" s="65" t="str">
        <x:v>Container/DevOps implementation query outside the defined generalist scope.</x:v>
      </x:c>
      <x:c r="O108" s="65" t="str">
        <x:v>B — related/discovered</x:v>
      </x:c>
      <x:c r="P108" s="65" t="str">
        <x:v>staging vs production</x:v>
      </x:c>
      <x:c r="Q108" s="65" t="str">
        <x:v>question</x:v>
      </x:c>
      <x:c r="R108" s="65" t="str">
        <x:v>Returned</x:v>
      </x:c>
      <x:c r="S108" s="65" t="str">
        <x:v>No row returned</x:v>
      </x:c>
    </x:row>
    <x:row r="109">
      <x:c r="A109" s="65" t="str">
        <x:v>what is prod</x:v>
      </x:c>
      <x:c r="B109" s="65" t="str">
        <x:v>Development, testing and release</x:v>
      </x:c>
      <x:c r="C109" s="65" t="str">
        <x:v>Development, test, staging and production environments</x:v>
      </x:c>
      <x:c r="D109" s="59" t="n">
        <x:v>390</x:v>
      </x:c>
      <x:c r="E109" s="59" t="n">
        <x:v>70</x:v>
      </x:c>
      <x:c r="F109" s="61" t="n">
        <x:v>0</x:v>
      </x:c>
      <x:c r="G109" s="61" t="n">
        <x:v>0</x:v>
      </x:c>
      <x:c r="H109" s="63"/>
      <x:c r="I109" s="63" t="n">
        <x:v>0</x:v>
      </x:c>
      <x:c r="J109" s="63" t="n">
        <x:v>1</x:v>
      </x:c>
      <x:c r="K109" s="65" t="str">
        <x:v>Analyst review of wording, validated scope and supplied SERP context</x:v>
      </x:c>
      <x:c r="L109" s="65" t="str">
        <x:v>Excluded</x:v>
      </x:c>
      <x:c r="M109" s="65" t="str">
        <x:v>Exclude</x:v>
      </x:c>
      <x:c r="N109" s="65" t="str">
        <x:v>Ambiguous shorthand with product, production and non-software meanings; volume cannot be attributed safely to deployment environments.</x:v>
      </x:c>
      <x:c r="O109" s="65" t="str">
        <x:v>B — related/discovered</x:v>
      </x:c>
      <x:c r="P109" s="65" t="str">
        <x:v>staging vs production</x:v>
      </x:c>
      <x:c r="Q109" s="65" t="str">
        <x:v>related</x:v>
      </x:c>
      <x:c r="R109" s="65" t="str">
        <x:v>Returned</x:v>
      </x:c>
      <x:c r="S109" s="65" t="str">
        <x:v>Returned</x:v>
      </x:c>
    </x:row>
    <x:row r="110">
      <x:c r="A110" s="65" t="str">
        <x:v>dev environment</x:v>
      </x:c>
      <x:c r="B110" s="65" t="str">
        <x:v>Development, testing and release</x:v>
      </x:c>
      <x:c r="C110" s="65" t="str">
        <x:v>Development, test, staging and production environments</x:v>
      </x:c>
      <x:c r="D110" s="59" t="n">
        <x:v>320</x:v>
      </x:c>
      <x:c r="E110" s="59" t="n">
        <x:v>90</x:v>
      </x:c>
      <x:c r="F110" s="61" t="n">
        <x:v>8.98</x:v>
      </x:c>
      <x:c r="G110" s="61" t="n">
        <x:v>0</x:v>
      </x:c>
      <x:c r="H110" s="63"/>
      <x:c r="I110" s="63" t="n">
        <x:v>0</x:v>
      </x:c>
      <x:c r="J110" s="63" t="n">
        <x:v>2</x:v>
      </x:c>
      <x:c r="K110" s="65" t="str">
        <x:v>Analyst review of wording, validated scope and supplied SERP context</x:v>
      </x:c>
      <x:c r="L110" s="65" t="str">
        <x:v>Specific concept term</x:v>
      </x:c>
      <x:c r="M110" s="65" t="str">
        <x:v>Include</x:v>
      </x:c>
      <x:c r="N110" s="65" t="str">
        <x:v>Relevant supporting concept; retained within its intent family without treating it as an exact learning query.</x:v>
      </x:c>
      <x:c r="O110" s="65" t="str">
        <x:v>B — related/discovered</x:v>
      </x:c>
      <x:c r="P110" s="65" t="str">
        <x:v>staging vs production</x:v>
      </x:c>
      <x:c r="Q110" s="65" t="str">
        <x:v>related</x:v>
      </x:c>
      <x:c r="R110" s="65" t="str">
        <x:v>Returned</x:v>
      </x:c>
      <x:c r="S110" s="65" t="str">
        <x:v>Returned</x:v>
      </x:c>
    </x:row>
    <x:row r="111">
      <x:c r="A111" s="65" t="str">
        <x:v>dev stage</x:v>
      </x:c>
      <x:c r="B111" s="65" t="str">
        <x:v>Development, testing and release</x:v>
      </x:c>
      <x:c r="C111" s="65" t="str">
        <x:v>Development, test, staging and production environments</x:v>
      </x:c>
      <x:c r="D111" s="59" t="n">
        <x:v>1600</x:v>
      </x:c>
      <x:c r="E111" s="59" t="n">
        <x:v>390</x:v>
      </x:c>
      <x:c r="F111" s="61" t="n">
        <x:v>2.33</x:v>
      </x:c>
      <x:c r="G111" s="61" t="n">
        <x:v>1.3</x:v>
      </x:c>
      <x:c r="H111" s="63"/>
      <x:c r="I111" s="63" t="n">
        <x:v>27</x:v>
      </x:c>
      <x:c r="J111" s="63" t="n">
        <x:v>2</x:v>
      </x:c>
      <x:c r="K111" s="65" t="str">
        <x:v>Analyst review of wording, validated scope and supplied SERP context</x:v>
      </x:c>
      <x:c r="L111" s="65" t="str">
        <x:v>Specific concept term</x:v>
      </x:c>
      <x:c r="M111" s="65" t="str">
        <x:v>Include</x:v>
      </x:c>
      <x:c r="N111" s="65" t="str">
        <x:v>Relevant supporting concept; retained within its intent family without treating it as an exact learning query.</x:v>
      </x:c>
      <x:c r="O111" s="65" t="str">
        <x:v>B — related/discovered</x:v>
      </x:c>
      <x:c r="P111" s="65" t="str">
        <x:v>staging vs production</x:v>
      </x:c>
      <x:c r="Q111" s="65" t="str">
        <x:v>related</x:v>
      </x:c>
      <x:c r="R111" s="65" t="str">
        <x:v>Returned</x:v>
      </x:c>
      <x:c r="S111" s="65" t="str">
        <x:v>Returned</x:v>
      </x:c>
    </x:row>
    <x:row r="112">
      <x:c r="A112" s="65" t="str">
        <x:v>development staging</x:v>
      </x:c>
      <x:c r="B112" s="65" t="str">
        <x:v>Development, testing and release</x:v>
      </x:c>
      <x:c r="C112" s="65" t="str">
        <x:v>Development, test, staging and production environments</x:v>
      </x:c>
      <x:c r="D112" s="59" t="n">
        <x:v>260</x:v>
      </x:c>
      <x:c r="E112" s="59" t="n">
        <x:v>0</x:v>
      </x:c>
      <x:c r="F112" s="61" t="n">
        <x:v>2.33</x:v>
      </x:c>
      <x:c r="G112" s="61" t="n">
        <x:v>1.52</x:v>
      </x:c>
      <x:c r="H112" s="63"/>
      <x:c r="I112" s="63" t="n">
        <x:v>0</x:v>
      </x:c>
      <x:c r="J112" s="63" t="n">
        <x:v>2</x:v>
      </x:c>
      <x:c r="K112" s="65" t="str">
        <x:v>Analyst review of wording, validated scope and supplied SERP context</x:v>
      </x:c>
      <x:c r="L112" s="65" t="str">
        <x:v>Specific concept term</x:v>
      </x:c>
      <x:c r="M112" s="65" t="str">
        <x:v>Include</x:v>
      </x:c>
      <x:c r="N112" s="65" t="str">
        <x:v>Relevant supporting concept; retained within its intent family without treating it as an exact learning query.</x:v>
      </x:c>
      <x:c r="O112" s="65" t="str">
        <x:v>B — related/discovered</x:v>
      </x:c>
      <x:c r="P112" s="65" t="str">
        <x:v>staging vs production</x:v>
      </x:c>
      <x:c r="Q112" s="65" t="str">
        <x:v>related</x:v>
      </x:c>
      <x:c r="R112" s="65" t="str">
        <x:v>Returned</x:v>
      </x:c>
      <x:c r="S112" s="65" t="str">
        <x:v>Returned</x:v>
      </x:c>
    </x:row>
    <x:row r="113">
      <x:c r="A113" s="65" t="str">
        <x:v>development vs staging vs production</x:v>
      </x:c>
      <x:c r="B113" s="65" t="str">
        <x:v>Development, testing and release</x:v>
      </x:c>
      <x:c r="C113" s="65" t="str">
        <x:v>Development, test, staging and production environments</x:v>
      </x:c>
      <x:c r="D113" s="59" t="n">
        <x:v>20</x:v>
      </x:c>
      <x:c r="E113" s="59" t="n">
        <x:v>20</x:v>
      </x:c>
      <x:c r="F113" s="61" t="n">
        <x:v>0</x:v>
      </x:c>
      <x:c r="G113" s="61" t="n">
        <x:v>0</x:v>
      </x:c>
      <x:c r="H113" s="63" t="n">
        <x:v>0</x:v>
      </x:c>
      <x:c r="I113" s="63" t="n">
        <x:v>0</x:v>
      </x:c>
      <x:c r="J113" s="63" t="n">
        <x:v>3</x:v>
      </x:c>
      <x:c r="K113" s="65" t="str">
        <x:v>Carried forward from search-language research (Google autocomplete (GB))</x:v>
      </x:c>
      <x:c r="L113" s="65" t="str">
        <x:v>Exact learning query</x:v>
      </x:c>
      <x:c r="M113" s="65" t="str">
        <x:v>Include</x:v>
      </x:c>
      <x:c r="N113" s="65" t="str">
        <x:v>Relevant observed learning phrase mapped to a validated PM need.</x:v>
      </x:c>
      <x:c r="O113" s="65" t="str">
        <x:v>A — observed seed</x:v>
      </x:c>
      <x:c r="P113" s="65" t="str">
        <x:v>development vs staging vs production</x:v>
      </x:c>
      <x:c r="Q113" s="65" t="str">
        <x:v>Observed search-language seed</x:v>
      </x:c>
      <x:c r="R113" s="65" t="str">
        <x:v>Returned</x:v>
      </x:c>
      <x:c r="S113" s="65" t="str">
        <x:v>Returned</x:v>
      </x:c>
    </x:row>
    <x:row r="114">
      <x:c r="A114" s="65" t="str">
        <x:v>prod dev</x:v>
      </x:c>
      <x:c r="B114" s="65" t="str">
        <x:v>Development, testing and release</x:v>
      </x:c>
      <x:c r="C114" s="65" t="str">
        <x:v>Development, test, staging and production environments</x:v>
      </x:c>
      <x:c r="D114" s="59" t="n">
        <x:v>720</x:v>
      </x:c>
      <x:c r="E114" s="59" t="n">
        <x:v>320</x:v>
      </x:c>
      <x:c r="F114" s="61" t="n">
        <x:v>5.41</x:v>
      </x:c>
      <x:c r="G114" s="61" t="n">
        <x:v>3.43</x:v>
      </x:c>
      <x:c r="H114" s="63"/>
      <x:c r="I114" s="63" t="n">
        <x:v>28</x:v>
      </x:c>
      <x:c r="J114" s="63" t="n">
        <x:v>2</x:v>
      </x:c>
      <x:c r="K114" s="65" t="str">
        <x:v>Analyst review of wording, validated scope and supplied SERP context</x:v>
      </x:c>
      <x:c r="L114" s="65" t="str">
        <x:v>Specific concept term</x:v>
      </x:c>
      <x:c r="M114" s="65" t="str">
        <x:v>Include</x:v>
      </x:c>
      <x:c r="N114" s="65" t="str">
        <x:v>Relevant supporting concept; retained within its intent family without treating it as an exact learning query.</x:v>
      </x:c>
      <x:c r="O114" s="65" t="str">
        <x:v>B — related/discovered</x:v>
      </x:c>
      <x:c r="P114" s="65" t="str">
        <x:v>staging vs production</x:v>
      </x:c>
      <x:c r="Q114" s="65" t="str">
        <x:v>related</x:v>
      </x:c>
      <x:c r="R114" s="65" t="str">
        <x:v>Returned</x:v>
      </x:c>
      <x:c r="S114" s="65" t="str">
        <x:v>Returned</x:v>
      </x:c>
    </x:row>
    <x:row r="115">
      <x:c r="A115" s="65" t="str">
        <x:v>production environment</x:v>
      </x:c>
      <x:c r="B115" s="65" t="str">
        <x:v>Development, testing and release</x:v>
      </x:c>
      <x:c r="C115" s="65" t="str">
        <x:v>Development, test, staging and production environments</x:v>
      </x:c>
      <x:c r="D115" s="59" t="n">
        <x:v>590</x:v>
      </x:c>
      <x:c r="E115" s="59" t="n">
        <x:v>110</x:v>
      </x:c>
      <x:c r="F115" s="61" t="n">
        <x:v>0</x:v>
      </x:c>
      <x:c r="G115" s="61" t="n">
        <x:v>0</x:v>
      </x:c>
      <x:c r="H115" s="63"/>
      <x:c r="I115" s="63" t="n">
        <x:v>15</x:v>
      </x:c>
      <x:c r="J115" s="63" t="n">
        <x:v>2</x:v>
      </x:c>
      <x:c r="K115" s="65" t="str">
        <x:v>Analyst review of wording, validated scope and supplied SERP context</x:v>
      </x:c>
      <x:c r="L115" s="65" t="str">
        <x:v>Specific concept term</x:v>
      </x:c>
      <x:c r="M115" s="65" t="str">
        <x:v>Include</x:v>
      </x:c>
      <x:c r="N115" s="65" t="str">
        <x:v>Relevant supporting concept; retained within its intent family without treating it as an exact learning query.</x:v>
      </x:c>
      <x:c r="O115" s="65" t="str">
        <x:v>B — related/discovered</x:v>
      </x:c>
      <x:c r="P115" s="65" t="str">
        <x:v>staging vs production</x:v>
      </x:c>
      <x:c r="Q115" s="65" t="str">
        <x:v>related</x:v>
      </x:c>
      <x:c r="R115" s="65" t="str">
        <x:v>Returned</x:v>
      </x:c>
      <x:c r="S115" s="65" t="str">
        <x:v>Returned</x:v>
      </x:c>
    </x:row>
    <x:row r="116">
      <x:c r="A116" s="65" t="str">
        <x:v>staging environment</x:v>
      </x:c>
      <x:c r="B116" s="65" t="str">
        <x:v>Development, testing and release</x:v>
      </x:c>
      <x:c r="C116" s="65" t="str">
        <x:v>Development, test, staging and production environments</x:v>
      </x:c>
      <x:c r="D116" s="59" t="n">
        <x:v>390</x:v>
      </x:c>
      <x:c r="E116" s="59" t="n">
        <x:v>140</x:v>
      </x:c>
      <x:c r="F116" s="61" t="n">
        <x:v>12.56</x:v>
      </x:c>
      <x:c r="G116" s="61" t="n">
        <x:v>0</x:v>
      </x:c>
      <x:c r="H116" s="63"/>
      <x:c r="I116" s="63" t="n">
        <x:v>28</x:v>
      </x:c>
      <x:c r="J116" s="63" t="n">
        <x:v>2</x:v>
      </x:c>
      <x:c r="K116" s="65" t="str">
        <x:v>Analyst review of wording, validated scope and supplied SERP context</x:v>
      </x:c>
      <x:c r="L116" s="65" t="str">
        <x:v>Specific concept term</x:v>
      </x:c>
      <x:c r="M116" s="65" t="str">
        <x:v>Include</x:v>
      </x:c>
      <x:c r="N116" s="65" t="str">
        <x:v>Relevant supporting concept; retained within its intent family without treating it as an exact learning query.</x:v>
      </x:c>
      <x:c r="O116" s="65" t="str">
        <x:v>B — related/discovered</x:v>
      </x:c>
      <x:c r="P116" s="65" t="str">
        <x:v>staging vs production</x:v>
      </x:c>
      <x:c r="Q116" s="65" t="str">
        <x:v>related</x:v>
      </x:c>
      <x:c r="R116" s="65" t="str">
        <x:v>Returned</x:v>
      </x:c>
      <x:c r="S116" s="65" t="str">
        <x:v>Returned</x:v>
      </x:c>
    </x:row>
    <x:row r="117">
      <x:c r="A117" s="65" t="str">
        <x:v>staging vs production</x:v>
      </x:c>
      <x:c r="B117" s="65" t="str">
        <x:v>Development, testing and release</x:v>
      </x:c>
      <x:c r="C117" s="65" t="str">
        <x:v>Development, test, staging and production environments</x:v>
      </x:c>
      <x:c r="D117" s="59" t="n">
        <x:v>110</x:v>
      </x:c>
      <x:c r="E117" s="59" t="n">
        <x:v>20</x:v>
      </x:c>
      <x:c r="F117" s="61" t="n">
        <x:v>0</x:v>
      </x:c>
      <x:c r="G117" s="61" t="n">
        <x:v>0</x:v>
      </x:c>
      <x:c r="H117" s="63" t="n">
        <x:v>27</x:v>
      </x:c>
      <x:c r="I117" s="63" t="n">
        <x:v>0</x:v>
      </x:c>
      <x:c r="J117" s="63" t="n">
        <x:v>3</x:v>
      </x:c>
      <x:c r="K117" s="65" t="str">
        <x:v>Carried forward from search-language research (Google autocomplete (GB))</x:v>
      </x:c>
      <x:c r="L117" s="65" t="str">
        <x:v>Exact learning query</x:v>
      </x:c>
      <x:c r="M117" s="65" t="str">
        <x:v>Include</x:v>
      </x:c>
      <x:c r="N117" s="65" t="str">
        <x:v>Relevant observed learning phrase mapped to a validated PM need.</x:v>
      </x:c>
      <x:c r="O117" s="65" t="str">
        <x:v>A — observed seed</x:v>
      </x:c>
      <x:c r="P117" s="65" t="str">
        <x:v>staging vs production</x:v>
      </x:c>
      <x:c r="Q117" s="65" t="str">
        <x:v>Observed search-language seed</x:v>
      </x:c>
      <x:c r="R117" s="65" t="str">
        <x:v>Returned</x:v>
      </x:c>
      <x:c r="S117" s="65" t="str">
        <x:v>Returned</x:v>
      </x:c>
    </x:row>
    <x:row r="118">
      <x:c r="A118" s="65" t="str">
        <x:v>test environment</x:v>
      </x:c>
      <x:c r="B118" s="65" t="str">
        <x:v>Development, testing and release</x:v>
      </x:c>
      <x:c r="C118" s="65" t="str">
        <x:v>Development, test, staging and production environments</x:v>
      </x:c>
      <x:c r="D118" s="59" t="n">
        <x:v>390</x:v>
      </x:c>
      <x:c r="E118" s="59" t="n">
        <x:v>110</x:v>
      </x:c>
      <x:c r="F118" s="61" t="n">
        <x:v>6.21</x:v>
      </x:c>
      <x:c r="G118" s="61" t="n">
        <x:v>3.42</x:v>
      </x:c>
      <x:c r="H118" s="63"/>
      <x:c r="I118" s="63" t="n">
        <x:v>33</x:v>
      </x:c>
      <x:c r="J118" s="63" t="n">
        <x:v>2</x:v>
      </x:c>
      <x:c r="K118" s="65" t="str">
        <x:v>Analyst review of wording, validated scope and supplied SERP context</x:v>
      </x:c>
      <x:c r="L118" s="65" t="str">
        <x:v>Specific concept term</x:v>
      </x:c>
      <x:c r="M118" s="65" t="str">
        <x:v>Include</x:v>
      </x:c>
      <x:c r="N118" s="65" t="str">
        <x:v>Relevant supporting concept; retained within its intent family without treating it as an exact learning query.</x:v>
      </x:c>
      <x:c r="O118" s="65" t="str">
        <x:v>B — related/discovered</x:v>
      </x:c>
      <x:c r="P118" s="65" t="str">
        <x:v>staging vs production</x:v>
      </x:c>
      <x:c r="Q118" s="65" t="str">
        <x:v>related</x:v>
      </x:c>
      <x:c r="R118" s="65" t="str">
        <x:v>Returned</x:v>
      </x:c>
      <x:c r="S118" s="65" t="str">
        <x:v>Returned</x:v>
      </x:c>
    </x:row>
    <x:row r="119">
      <x:c r="A119" s="65" t="str">
        <x:v>uat environment</x:v>
      </x:c>
      <x:c r="B119" s="65" t="str">
        <x:v>Development, testing and release</x:v>
      </x:c>
      <x:c r="C119" s="65" t="str">
        <x:v>Development, test, staging and production environments</x:v>
      </x:c>
      <x:c r="D119" s="59" t="n">
        <x:v>880</x:v>
      </x:c>
      <x:c r="E119" s="59" t="n">
        <x:v>210</x:v>
      </x:c>
      <x:c r="F119" s="61" t="n">
        <x:v>0</x:v>
      </x:c>
      <x:c r="G119" s="61" t="n">
        <x:v>0</x:v>
      </x:c>
      <x:c r="H119" s="63"/>
      <x:c r="I119" s="63" t="n">
        <x:v>28</x:v>
      </x:c>
      <x:c r="J119" s="63" t="n">
        <x:v>2</x:v>
      </x:c>
      <x:c r="K119" s="65" t="str">
        <x:v>Analyst review of wording, validated scope and supplied SERP context</x:v>
      </x:c>
      <x:c r="L119" s="65" t="str">
        <x:v>Specific concept term</x:v>
      </x:c>
      <x:c r="M119" s="65" t="str">
        <x:v>Include</x:v>
      </x:c>
      <x:c r="N119" s="65" t="str">
        <x:v>Relevant supporting concept; retained within its intent family without treating it as an exact learning query.</x:v>
      </x:c>
      <x:c r="O119" s="65" t="str">
        <x:v>B — related/discovered</x:v>
      </x:c>
      <x:c r="P119" s="65" t="str">
        <x:v>staging vs production</x:v>
      </x:c>
      <x:c r="Q119" s="65" t="str">
        <x:v>related</x:v>
      </x:c>
      <x:c r="R119" s="65" t="str">
        <x:v>Returned</x:v>
      </x:c>
      <x:c r="S119" s="65" t="str">
        <x:v>Returned</x:v>
      </x:c>
    </x:row>
    <x:row r="120">
      <x:c r="A120" s="65" t="str">
        <x:v>what is production vs staging</x:v>
      </x:c>
      <x:c r="B120" s="65" t="str">
        <x:v>Development, testing and release</x:v>
      </x:c>
      <x:c r="C120" s="65" t="str">
        <x:v>Development, test, staging and production environments</x:v>
      </x:c>
      <x:c r="D120" s="59" t="n">
        <x:v>0</x:v>
      </x:c>
      <x:c r="E120" s="59" t="n">
        <x:v>0</x:v>
      </x:c>
      <x:c r="F120" s="61" t="n">
        <x:v>0</x:v>
      </x:c>
      <x:c r="G120" s="61" t="n">
        <x:v>0</x:v>
      </x:c>
      <x:c r="H120" s="63"/>
      <x:c r="I120" s="63" t="n">
        <x:v>0</x:v>
      </x:c>
      <x:c r="J120" s="63" t="n">
        <x:v>2</x:v>
      </x:c>
      <x:c r="K120" s="65" t="str">
        <x:v>Analyst review of wording, validated scope and supplied SERP context</x:v>
      </x:c>
      <x:c r="L120" s="65" t="str">
        <x:v>Exact learning query</x:v>
      </x:c>
      <x:c r="M120" s="65" t="str">
        <x:v>Include</x:v>
      </x:c>
      <x:c r="N120" s="65" t="str">
        <x:v>Relevant to a validated PM need; retained despite zero or missing volume.</x:v>
      </x:c>
      <x:c r="O120" s="65" t="str">
        <x:v>B — related/discovered</x:v>
      </x:c>
      <x:c r="P120" s="65" t="str">
        <x:v>staging vs production</x:v>
      </x:c>
      <x:c r="Q120" s="65" t="str">
        <x:v>question</x:v>
      </x:c>
      <x:c r="R120" s="65" t="str">
        <x:v>Returned</x:v>
      </x:c>
      <x:c r="S120" s="65" t="str">
        <x:v>Returned</x:v>
      </x:c>
    </x:row>
    <x:row r="121">
      <x:c r="A121" s="65" t="str">
        <x:v>what is staging vs production</x:v>
      </x:c>
      <x:c r="B121" s="65" t="str">
        <x:v>Development, testing and release</x:v>
      </x:c>
      <x:c r="C121" s="65" t="str">
        <x:v>Development, test, staging and production environments</x:v>
      </x:c>
      <x:c r="D121" s="59" t="n">
        <x:v>20</x:v>
      </x:c>
      <x:c r="E121" s="59" t="n">
        <x:v>10</x:v>
      </x:c>
      <x:c r="F121" s="61" t="n">
        <x:v>0</x:v>
      </x:c>
      <x:c r="G121" s="61" t="n">
        <x:v>0</x:v>
      </x:c>
      <x:c r="H121" s="63"/>
      <x:c r="I121" s="63" t="n">
        <x:v>0</x:v>
      </x:c>
      <x:c r="J121" s="63" t="n">
        <x:v>2</x:v>
      </x:c>
      <x:c r="K121" s="65" t="str">
        <x:v>Analyst review of wording, validated scope and supplied SERP context</x:v>
      </x:c>
      <x:c r="L121" s="65" t="str">
        <x:v>Exact learning query</x:v>
      </x:c>
      <x:c r="M121" s="65" t="str">
        <x:v>Include</x:v>
      </x:c>
      <x:c r="N121" s="65" t="str">
        <x:v>Relevant learning query mapped to a validated PM need.</x:v>
      </x:c>
      <x:c r="O121" s="65" t="str">
        <x:v>B — related/discovered</x:v>
      </x:c>
      <x:c r="P121" s="65" t="str">
        <x:v>staging vs production</x:v>
      </x:c>
      <x:c r="Q121" s="65" t="str">
        <x:v>question</x:v>
      </x:c>
      <x:c r="R121" s="65" t="str">
        <x:v>Returned</x:v>
      </x:c>
      <x:c r="S121" s="65" t="str">
        <x:v>Returned</x:v>
      </x:c>
    </x:row>
    <x:row r="122">
      <x:c r="A122" s="65" t="str">
        <x:v>feature flags explained</x:v>
      </x:c>
      <x:c r="B122" s="65" t="str">
        <x:v>Development, testing and release</x:v>
      </x:c>
      <x:c r="C122" s="65" t="str">
        <x:v>Feature flags and release control</x:v>
      </x:c>
      <x:c r="D122" s="59" t="n">
        <x:v>30</x:v>
      </x:c>
      <x:c r="E122" s="59" t="n">
        <x:v>10</x:v>
      </x:c>
      <x:c r="F122" s="61" t="n">
        <x:v>0</x:v>
      </x:c>
      <x:c r="G122" s="61" t="n">
        <x:v>0</x:v>
      </x:c>
      <x:c r="H122" s="63" t="n">
        <x:v>0</x:v>
      </x:c>
      <x:c r="I122" s="63" t="n">
        <x:v>0</x:v>
      </x:c>
      <x:c r="J122" s="63" t="n">
        <x:v>3</x:v>
      </x:c>
      <x:c r="K122" s="65" t="str">
        <x:v>Carried forward from search-language research (Google + YouTube autocomplete)</x:v>
      </x:c>
      <x:c r="L122" s="65" t="str">
        <x:v>Exact learning query</x:v>
      </x:c>
      <x:c r="M122" s="65" t="str">
        <x:v>Include</x:v>
      </x:c>
      <x:c r="N122" s="65" t="str">
        <x:v>Relevant observed learning phrase mapped to a validated PM need.</x:v>
      </x:c>
      <x:c r="O122" s="65" t="str">
        <x:v>A — observed seed</x:v>
      </x:c>
      <x:c r="P122" s="65" t="str">
        <x:v>feature flags explained</x:v>
      </x:c>
      <x:c r="Q122" s="65" t="str">
        <x:v>Observed search-language seed</x:v>
      </x:c>
      <x:c r="R122" s="65" t="str">
        <x:v>Returned</x:v>
      </x:c>
      <x:c r="S122" s="65" t="str">
        <x:v>Returned</x:v>
      </x:c>
    </x:row>
    <x:row r="123">
      <x:c r="A123" s="65" t="str">
        <x:v>c.i.</x:v>
      </x:c>
      <x:c r="B123" s="65" t="str">
        <x:v>Development, testing and release</x:v>
      </x:c>
      <x:c r="C123" s="65" t="str">
        <x:v>Software deployment process</x:v>
      </x:c>
      <x:c r="D123" s="59" t="n">
        <x:v>6600</x:v>
      </x:c>
      <x:c r="E123" s="59" t="n">
        <x:v>110</x:v>
      </x:c>
      <x:c r="F123" s="61" t="n">
        <x:v>2.97</x:v>
      </x:c>
      <x:c r="G123" s="61" t="n">
        <x:v>4.18</x:v>
      </x:c>
      <x:c r="H123" s="63"/>
      <x:c r="I123" s="63" t="n">
        <x:v>85</x:v>
      </x:c>
      <x:c r="J123" s="63" t="n">
        <x:v>1</x:v>
      </x:c>
      <x:c r="K123" s="65" t="str">
        <x:v>Analyst review of wording, validated scope and supplied SERP context</x:v>
      </x:c>
      <x:c r="L123" s="65" t="str">
        <x:v>Excluded</x:v>
      </x:c>
      <x:c r="M123" s="65" t="str">
        <x:v>Exclude</x:v>
      </x:c>
      <x:c r="N123" s="65" t="str">
        <x:v>Ambiguous abbreviation; volume cannot be attributed defensibly to CI/CD.</x:v>
      </x:c>
      <x:c r="O123" s="65" t="str">
        <x:v>B — related/discovered</x:v>
      </x:c>
      <x:c r="P123" s="65" t="str">
        <x:v>how does ci cd pipeline work</x:v>
      </x:c>
      <x:c r="Q123" s="65" t="str">
        <x:v>related</x:v>
      </x:c>
      <x:c r="R123" s="65" t="str">
        <x:v>Returned</x:v>
      </x:c>
      <x:c r="S123" s="65" t="str">
        <x:v>Returned</x:v>
      </x:c>
    </x:row>
    <x:row r="124">
      <x:c r="A124" s="65" t="str">
        <x:v>ci</x:v>
      </x:c>
      <x:c r="B124" s="65" t="str">
        <x:v>Development, testing and release</x:v>
      </x:c>
      <x:c r="C124" s="65" t="str">
        <x:v>Software deployment process</x:v>
      </x:c>
      <x:c r="D124" s="59" t="n">
        <x:v>74000</x:v>
      </x:c>
      <x:c r="E124" s="59" t="n">
        <x:v>22200</x:v>
      </x:c>
      <x:c r="F124" s="61" t="n">
        <x:v>2.97</x:v>
      </x:c>
      <x:c r="G124" s="61" t="n">
        <x:v>4.18</x:v>
      </x:c>
      <x:c r="H124" s="63"/>
      <x:c r="I124" s="63" t="n">
        <x:v>88</x:v>
      </x:c>
      <x:c r="J124" s="63" t="n">
        <x:v>1</x:v>
      </x:c>
      <x:c r="K124" s="65" t="str">
        <x:v>Analyst review of wording, validated scope and supplied SERP context</x:v>
      </x:c>
      <x:c r="L124" s="65" t="str">
        <x:v>Excluded</x:v>
      </x:c>
      <x:c r="M124" s="65" t="str">
        <x:v>Exclude</x:v>
      </x:c>
      <x:c r="N124" s="65" t="str">
        <x:v>Ambiguous abbreviation with many non-CI/CD meanings.</x:v>
      </x:c>
      <x:c r="O124" s="65" t="str">
        <x:v>B — related/discovered</x:v>
      </x:c>
      <x:c r="P124" s="65" t="str">
        <x:v>how does ci cd pipeline work</x:v>
      </x:c>
      <x:c r="Q124" s="65" t="str">
        <x:v>related</x:v>
      </x:c>
      <x:c r="R124" s="65" t="str">
        <x:v>Returned</x:v>
      </x:c>
      <x:c r="S124" s="65" t="str">
        <x:v>Returned</x:v>
      </x:c>
    </x:row>
    <x:row r="125">
      <x:c r="A125" s="65" t="str">
        <x:v>deployment server</x:v>
      </x:c>
      <x:c r="B125" s="65" t="str">
        <x:v>Development, testing and release</x:v>
      </x:c>
      <x:c r="C125" s="65" t="str">
        <x:v>Software deployment process</x:v>
      </x:c>
      <x:c r="D125" s="59" t="n">
        <x:v>320</x:v>
      </x:c>
      <x:c r="E125" s="59" t="n">
        <x:v>140</x:v>
      </x:c>
      <x:c r="F125" s="61" t="n">
        <x:v>9.88</x:v>
      </x:c>
      <x:c r="G125" s="61" t="n">
        <x:v>9.09</x:v>
      </x:c>
      <x:c r="H125" s="63"/>
      <x:c r="I125" s="63" t="n">
        <x:v>21</x:v>
      </x:c>
      <x:c r="J125" s="63" t="n">
        <x:v>1</x:v>
      </x:c>
      <x:c r="K125" s="65" t="str">
        <x:v>Analyst review of wording, validated scope and supplied SERP context</x:v>
      </x:c>
      <x:c r="L125" s="65" t="str">
        <x:v>Excluded</x:v>
      </x:c>
      <x:c r="M125" s="65" t="str">
        <x:v>Exclude</x:v>
      </x:c>
      <x:c r="N125" s="65" t="str">
        <x:v>Infrastructure implementation term with predominantly developer/operations intent.</x:v>
      </x:c>
      <x:c r="O125" s="65" t="str">
        <x:v>B — related/discovered</x:v>
      </x:c>
      <x:c r="P125" s="65" t="str">
        <x:v>staging vs production</x:v>
      </x:c>
      <x:c r="Q125" s="65" t="str">
        <x:v>related</x:v>
      </x:c>
      <x:c r="R125" s="65" t="str">
        <x:v>Returned</x:v>
      </x:c>
      <x:c r="S125" s="65" t="str">
        <x:v>Returned</x:v>
      </x:c>
    </x:row>
    <x:row r="126">
      <x:c r="A126" s="65" t="str">
        <x:v>how does software deployment work</x:v>
      </x:c>
      <x:c r="B126" s="65" t="str">
        <x:v>Development, testing and release</x:v>
      </x:c>
      <x:c r="C126" s="65" t="str">
        <x:v>Software deployment process</x:v>
      </x:c>
      <x:c r="D126" s="59" t="n">
        <x:v>0</x:v>
      </x:c>
      <x:c r="E126" s="59" t="n">
        <x:v>0</x:v>
      </x:c>
      <x:c r="F126" s="61" t="n">
        <x:v>0</x:v>
      </x:c>
      <x:c r="G126" s="61" t="n">
        <x:v>0</x:v>
      </x:c>
      <x:c r="H126" s="63" t="n">
        <x:v>0</x:v>
      </x:c>
      <x:c r="I126" s="63" t="n">
        <x:v>0</x:v>
      </x:c>
      <x:c r="J126" s="63" t="n">
        <x:v>3</x:v>
      </x:c>
      <x:c r="K126" s="65" t="str">
        <x:v>Carried forward from search-language research (Google autocomplete (GB))</x:v>
      </x:c>
      <x:c r="L126" s="65" t="str">
        <x:v>Exact learning query</x:v>
      </x:c>
      <x:c r="M126" s="65" t="str">
        <x:v>Include</x:v>
      </x:c>
      <x:c r="N126" s="65" t="str">
        <x:v>Relevant observed learning phrase mapped to a validated PM need.</x:v>
      </x:c>
      <x:c r="O126" s="65" t="str">
        <x:v>A — observed seed</x:v>
      </x:c>
      <x:c r="P126" s="65" t="str">
        <x:v>how does software deployment work</x:v>
      </x:c>
      <x:c r="Q126" s="65" t="str">
        <x:v>Observed search-language seed</x:v>
      </x:c>
      <x:c r="R126" s="65" t="str">
        <x:v>Returned</x:v>
      </x:c>
      <x:c r="S126" s="65" t="str">
        <x:v>Returned</x:v>
      </x:c>
    </x:row>
    <x:row r="127">
      <x:c r="A127" s="65" t="str">
        <x:v>what are application logs in sap</x:v>
      </x:c>
      <x:c r="B127" s="65" t="str">
        <x:v>Investigation and bug triage</x:v>
      </x:c>
      <x:c r="C127" s="65" t="str">
        <x:v>Application logs</x:v>
      </x:c>
      <x:c r="D127" s="59" t="n">
        <x:v>0</x:v>
      </x:c>
      <x:c r="E127" s="59"/>
      <x:c r="F127" s="61" t="n">
        <x:v>0</x:v>
      </x:c>
      <x:c r="G127" s="61"/>
      <x:c r="H127" s="63"/>
      <x:c r="I127" s="63"/>
      <x:c r="J127" s="63" t="n">
        <x:v>1</x:v>
      </x:c>
      <x:c r="K127" s="65" t="str">
        <x:v>Analyst review of wording, validated scope and supplied SERP context</x:v>
      </x:c>
      <x:c r="L127" s="65" t="str">
        <x:v>Excluded</x:v>
      </x:c>
      <x:c r="M127" s="65" t="str">
        <x:v>Exclude</x:v>
      </x:c>
      <x:c r="N127" s="65" t="str">
        <x:v>SAP-specific administration query outside the generalist scope.</x:v>
      </x:c>
      <x:c r="O127" s="65" t="str">
        <x:v>B — related/discovered</x:v>
      </x:c>
      <x:c r="P127" s="65" t="str">
        <x:v>what are application logs</x:v>
      </x:c>
      <x:c r="Q127" s="65" t="str">
        <x:v>question</x:v>
      </x:c>
      <x:c r="R127" s="65" t="str">
        <x:v>Returned</x:v>
      </x:c>
      <x:c r="S127" s="65" t="str">
        <x:v>No row returned</x:v>
      </x:c>
    </x:row>
    <x:row r="128">
      <x:c r="A128" s="65" t="str">
        <x:v>what are application logs vs infrastructure logs</x:v>
      </x:c>
      <x:c r="B128" s="65" t="str">
        <x:v>Investigation and bug triage</x:v>
      </x:c>
      <x:c r="C128" s="65" t="str">
        <x:v>Application logs</x:v>
      </x:c>
      <x:c r="D128" s="59" t="n">
        <x:v>0</x:v>
      </x:c>
      <x:c r="E128" s="59"/>
      <x:c r="F128" s="61" t="n">
        <x:v>0</x:v>
      </x:c>
      <x:c r="G128" s="61"/>
      <x:c r="H128" s="63"/>
      <x:c r="I128" s="63"/>
      <x:c r="J128" s="63" t="n">
        <x:v>1</x:v>
      </x:c>
      <x:c r="K128" s="65" t="str">
        <x:v>Analyst review of wording, validated scope and supplied SERP context</x:v>
      </x:c>
      <x:c r="L128" s="65" t="str">
        <x:v>Excluded</x:v>
      </x:c>
      <x:c r="M128" s="65" t="str">
        <x:v>Exclude</x:v>
      </x:c>
      <x:c r="N128" s="65" t="str">
        <x:v>Observability/infrastructure-specialist comparison outside the defined depth.</x:v>
      </x:c>
      <x:c r="O128" s="65" t="str">
        <x:v>B — related/discovered</x:v>
      </x:c>
      <x:c r="P128" s="65" t="str">
        <x:v>what are application logs</x:v>
      </x:c>
      <x:c r="Q128" s="65" t="str">
        <x:v>question</x:v>
      </x:c>
      <x:c r="R128" s="65" t="str">
        <x:v>Returned</x:v>
      </x:c>
      <x:c r="S128" s="65" t="str">
        <x:v>No row returned</x:v>
      </x:c>
    </x:row>
    <x:row r="129">
      <x:c r="A129" s="65" t="str">
        <x:v>what are windows application logs</x:v>
      </x:c>
      <x:c r="B129" s="65" t="str">
        <x:v>Investigation and bug triage</x:v>
      </x:c>
      <x:c r="C129" s="65" t="str">
        <x:v>Application logs</x:v>
      </x:c>
      <x:c r="D129" s="59" t="n">
        <x:v>0</x:v>
      </x:c>
      <x:c r="E129" s="59"/>
      <x:c r="F129" s="61" t="n">
        <x:v>0</x:v>
      </x:c>
      <x:c r="G129" s="61"/>
      <x:c r="H129" s="63"/>
      <x:c r="I129" s="63"/>
      <x:c r="J129" s="63" t="n">
        <x:v>1</x:v>
      </x:c>
      <x:c r="K129" s="65" t="str">
        <x:v>Analyst review of wording, validated scope and supplied SERP context</x:v>
      </x:c>
      <x:c r="L129" s="65" t="str">
        <x:v>Excluded</x:v>
      </x:c>
      <x:c r="M129" s="65" t="str">
        <x:v>Exclude</x:v>
      </x:c>
      <x:c r="N129" s="65" t="str">
        <x:v>Operating-system administration query with specialist IT intent.</x:v>
      </x:c>
      <x:c r="O129" s="65" t="str">
        <x:v>B — related/discovered</x:v>
      </x:c>
      <x:c r="P129" s="65" t="str">
        <x:v>what are application logs</x:v>
      </x:c>
      <x:c r="Q129" s="65" t="str">
        <x:v>question</x:v>
      </x:c>
      <x:c r="R129" s="65" t="str">
        <x:v>Returned</x:v>
      </x:c>
      <x:c r="S129" s="65" t="str">
        <x:v>No row returned</x:v>
      </x:c>
    </x:row>
    <x:row r="130">
      <x:c r="A130" s="65" t="str">
        <x:v>what are application logs</x:v>
      </x:c>
      <x:c r="B130" s="65" t="str">
        <x:v>Investigation and bug triage</x:v>
      </x:c>
      <x:c r="C130" s="65" t="str">
        <x:v>Application logs</x:v>
      </x:c>
      <x:c r="D130" s="59" t="n">
        <x:v>20</x:v>
      </x:c>
      <x:c r="E130" s="59" t="n">
        <x:v>20</x:v>
      </x:c>
      <x:c r="F130" s="61" t="n">
        <x:v>0</x:v>
      </x:c>
      <x:c r="G130" s="61" t="n">
        <x:v>0</x:v>
      </x:c>
      <x:c r="H130" s="63" t="n">
        <x:v>0</x:v>
      </x:c>
      <x:c r="I130" s="63" t="n">
        <x:v>0</x:v>
      </x:c>
      <x:c r="J130" s="63" t="n">
        <x:v>3</x:v>
      </x:c>
      <x:c r="K130" s="65" t="str">
        <x:v>Carried forward from search-language research (Google autocomplete (GB))</x:v>
      </x:c>
      <x:c r="L130" s="65" t="str">
        <x:v>Exact learning query</x:v>
      </x:c>
      <x:c r="M130" s="65" t="str">
        <x:v>Include</x:v>
      </x:c>
      <x:c r="N130" s="65" t="str">
        <x:v>Relevant observed learning phrase mapped to a validated PM need.</x:v>
      </x:c>
      <x:c r="O130" s="65" t="str">
        <x:v>A — observed seed</x:v>
      </x:c>
      <x:c r="P130" s="65" t="str">
        <x:v>what are application logs</x:v>
      </x:c>
      <x:c r="Q130" s="65" t="str">
        <x:v>Observed search-language seed</x:v>
      </x:c>
      <x:c r="R130" s="65" t="str">
        <x:v>Returned</x:v>
      </x:c>
      <x:c r="S130" s="65" t="str">
        <x:v>Returned</x:v>
      </x:c>
    </x:row>
    <x:row r="131">
      <x:c r="A131" s="65" t="str">
        <x:v>what are application logs examples</x:v>
      </x:c>
      <x:c r="B131" s="65" t="str">
        <x:v>Investigation and bug triage</x:v>
      </x:c>
      <x:c r="C131" s="65" t="str">
        <x:v>Application logs</x:v>
      </x:c>
      <x:c r="D131" s="59" t="n">
        <x:v>0</x:v>
      </x:c>
      <x:c r="E131" s="59" t="n">
        <x:v>0</x:v>
      </x:c>
      <x:c r="F131" s="61" t="n">
        <x:v>0</x:v>
      </x:c>
      <x:c r="G131" s="61" t="n">
        <x:v>0</x:v>
      </x:c>
      <x:c r="H131" s="63"/>
      <x:c r="I131" s="63" t="n">
        <x:v>0</x:v>
      </x:c>
      <x:c r="J131" s="63" t="n">
        <x:v>3</x:v>
      </x:c>
      <x:c r="K131" s="65" t="str">
        <x:v>Analyst review of wording, validated scope and supplied SERP context</x:v>
      </x:c>
      <x:c r="L131" s="65" t="str">
        <x:v>Exact learning query</x:v>
      </x:c>
      <x:c r="M131" s="65" t="str">
        <x:v>Include</x:v>
      </x:c>
      <x:c r="N131" s="65" t="str">
        <x:v>Relevant to a validated PM need; retained despite zero or missing volume.</x:v>
      </x:c>
      <x:c r="O131" s="65" t="str">
        <x:v>B — related/discovered</x:v>
      </x:c>
      <x:c r="P131" s="65" t="str">
        <x:v>what are application logs</x:v>
      </x:c>
      <x:c r="Q131" s="65" t="str">
        <x:v>question</x:v>
      </x:c>
      <x:c r="R131" s="65" t="str">
        <x:v>Returned</x:v>
      </x:c>
      <x:c r="S131" s="65" t="str">
        <x:v>Returned</x:v>
      </x:c>
    </x:row>
    <x:row r="132">
      <x:c r="A132" s="65" t="str">
        <x:v>devtools network tab explained</x:v>
      </x:c>
      <x:c r="B132" s="65" t="str">
        <x:v>Investigation and bug triage</x:v>
      </x:c>
      <x:c r="C132" s="65" t="str">
        <x:v>Browser DevTools and network inspection</x:v>
      </x:c>
      <x:c r="D132" s="59"/>
      <x:c r="E132" s="59"/>
      <x:c r="F132" s="61"/>
      <x:c r="G132" s="61"/>
      <x:c r="H132" s="63"/>
      <x:c r="I132" s="63"/>
      <x:c r="J132" s="63" t="n">
        <x:v>2</x:v>
      </x:c>
      <x:c r="K132" s="65" t="str">
        <x:v>Carried forward from search-language research (Google autocomplete (GB))</x:v>
      </x:c>
      <x:c r="L132" s="65" t="str">
        <x:v>Exact learning query</x:v>
      </x:c>
      <x:c r="M132" s="65" t="str">
        <x:v>Include</x:v>
      </x:c>
      <x:c r="N132" s="65" t="str">
        <x:v>Relevant observed learning phrase; retained despite missing Semrush rows in both countries.</x:v>
      </x:c>
      <x:c r="O132" s="65" t="str">
        <x:v>A — observed seed</x:v>
      </x:c>
      <x:c r="P132" s="65" t="str">
        <x:v>devtools network tab explained</x:v>
      </x:c>
      <x:c r="Q132" s="65" t="str">
        <x:v>Observed search-language seed</x:v>
      </x:c>
      <x:c r="R132" s="65" t="str">
        <x:v>No row returned</x:v>
      </x:c>
      <x:c r="S132" s="65" t="str">
        <x:v>No row returned</x:v>
      </x:c>
    </x:row>
    <x:row r="133">
      <x:c r="A133" s="65" t="str">
        <x:v>how long does it take a bed bug to reproduce</x:v>
      </x:c>
      <x:c r="B133" s="65" t="str">
        <x:v>Investigation and bug triage</x:v>
      </x:c>
      <x:c r="C133" s="65" t="str">
        <x:v>Bug reproduction</x:v>
      </x:c>
      <x:c r="D133" s="59" t="n">
        <x:v>10</x:v>
      </x:c>
      <x:c r="E133" s="59"/>
      <x:c r="F133" s="61" t="n">
        <x:v>0.87</x:v>
      </x:c>
      <x:c r="G133" s="61"/>
      <x:c r="H133" s="63"/>
      <x:c r="I133" s="63"/>
      <x:c r="J133" s="63" t="n">
        <x:v>1</x:v>
      </x:c>
      <x:c r="K133" s="65" t="str">
        <x:v>Analyst review of wording, validated scope and supplied SERP context</x:v>
      </x:c>
      <x:c r="L133" s="65" t="str">
        <x:v>Excluded</x:v>
      </x:c>
      <x:c r="M133" s="65" t="str">
        <x:v>Exclude</x:v>
      </x:c>
      <x:c r="N133" s="65" t="str">
        <x:v>Irrelevant biological meaning of ‘bug’ and ‘reproduce’.</x:v>
      </x:c>
      <x:c r="O133" s="65" t="str">
        <x:v>B — related/discovered</x:v>
      </x:c>
      <x:c r="P133" s="65" t="str">
        <x:v>how to reproduce a bug</x:v>
      </x:c>
      <x:c r="Q133" s="65" t="str">
        <x:v>question</x:v>
      </x:c>
      <x:c r="R133" s="65" t="str">
        <x:v>Returned</x:v>
      </x:c>
      <x:c r="S133" s="65" t="str">
        <x:v>No row returned</x:v>
      </x:c>
    </x:row>
    <x:row r="134">
      <x:c r="A134" s="65" t="str">
        <x:v>what application are used for creating icons or logos</x:v>
      </x:c>
      <x:c r="B134" s="65" t="str">
        <x:v>Investigation and bug triage</x:v>
      </x:c>
      <x:c r="C134" s="65" t="str">
        <x:v>Bug reproduction</x:v>
      </x:c>
      <x:c r="D134" s="59" t="n">
        <x:v>0</x:v>
      </x:c>
      <x:c r="E134" s="59"/>
      <x:c r="F134" s="61" t="n">
        <x:v>0</x:v>
      </x:c>
      <x:c r="G134" s="61"/>
      <x:c r="H134" s="63"/>
      <x:c r="I134" s="63"/>
      <x:c r="J134" s="63" t="n">
        <x:v>1</x:v>
      </x:c>
      <x:c r="K134" s="65" t="str">
        <x:v>Analyst review of wording, validated scope and supplied SERP context</x:v>
      </x:c>
      <x:c r="L134" s="65" t="str">
        <x:v>Excluded</x:v>
      </x:c>
      <x:c r="M134" s="65" t="str">
        <x:v>Exclude</x:v>
      </x:c>
      <x:c r="N134" s="65" t="str">
        <x:v>Irrelevant semantic collision with ‘application logs’.</x:v>
      </x:c>
      <x:c r="O134" s="65" t="str">
        <x:v>B — related/discovered</x:v>
      </x:c>
      <x:c r="P134" s="65" t="str">
        <x:v>what are application logs</x:v>
      </x:c>
      <x:c r="Q134" s="65" t="str">
        <x:v>question</x:v>
      </x:c>
      <x:c r="R134" s="65" t="str">
        <x:v>Returned</x:v>
      </x:c>
      <x:c r="S134" s="65" t="str">
        <x:v>No row returned</x:v>
      </x:c>
    </x:row>
    <x:row r="135">
      <x:c r="A135" s="65" t="str">
        <x:v>what are logs natural logs and applications</x:v>
      </x:c>
      <x:c r="B135" s="65" t="str">
        <x:v>Investigation and bug triage</x:v>
      </x:c>
      <x:c r="C135" s="65" t="str">
        <x:v>Bug reproduction</x:v>
      </x:c>
      <x:c r="D135" s="59" t="n">
        <x:v>0</x:v>
      </x:c>
      <x:c r="E135" s="59"/>
      <x:c r="F135" s="61" t="n">
        <x:v>0</x:v>
      </x:c>
      <x:c r="G135" s="61"/>
      <x:c r="H135" s="63"/>
      <x:c r="I135" s="63"/>
      <x:c r="J135" s="63" t="n">
        <x:v>1</x:v>
      </x:c>
      <x:c r="K135" s="65" t="str">
        <x:v>Analyst review of wording, validated scope and supplied SERP context</x:v>
      </x:c>
      <x:c r="L135" s="65" t="str">
        <x:v>Excluded</x:v>
      </x:c>
      <x:c r="M135" s="65" t="str">
        <x:v>Exclude</x:v>
      </x:c>
      <x:c r="N135" s="65" t="str">
        <x:v>Irrelevant mathematical meaning of logarithms.</x:v>
      </x:c>
      <x:c r="O135" s="65" t="str">
        <x:v>B — related/discovered</x:v>
      </x:c>
      <x:c r="P135" s="65" t="str">
        <x:v>what are application logs</x:v>
      </x:c>
      <x:c r="Q135" s="65" t="str">
        <x:v>question</x:v>
      </x:c>
      <x:c r="R135" s="65" t="str">
        <x:v>Returned</x:v>
      </x:c>
      <x:c r="S135" s="65" t="str">
        <x:v>No row returned</x:v>
      </x:c>
    </x:row>
    <x:row r="136">
      <x:c r="A136" s="65" t="str">
        <x:v>what are some examples of mac keystroke logging applications</x:v>
      </x:c>
      <x:c r="B136" s="65" t="str">
        <x:v>Investigation and bug triage</x:v>
      </x:c>
      <x:c r="C136" s="65" t="str">
        <x:v>Bug reproduction</x:v>
      </x:c>
      <x:c r="D136" s="59" t="n">
        <x:v>0</x:v>
      </x:c>
      <x:c r="E136" s="59"/>
      <x:c r="F136" s="61" t="n">
        <x:v>0</x:v>
      </x:c>
      <x:c r="G136" s="61"/>
      <x:c r="H136" s="63"/>
      <x:c r="I136" s="63"/>
      <x:c r="J136" s="63" t="n">
        <x:v>1</x:v>
      </x:c>
      <x:c r="K136" s="65" t="str">
        <x:v>Analyst review of wording, validated scope and supplied SERP context</x:v>
      </x:c>
      <x:c r="L136" s="65" t="str">
        <x:v>Excluded</x:v>
      </x:c>
      <x:c r="M136" s="65" t="str">
        <x:v>Exclude</x:v>
      </x:c>
      <x:c r="N136" s="65" t="str">
        <x:v>Security/monitoring query outside the scope and not about application logs.</x:v>
      </x:c>
      <x:c r="O136" s="65" t="str">
        <x:v>B — related/discovered</x:v>
      </x:c>
      <x:c r="P136" s="65" t="str">
        <x:v>what are application logs</x:v>
      </x:c>
      <x:c r="Q136" s="65" t="str">
        <x:v>question</x:v>
      </x:c>
      <x:c r="R136" s="65" t="str">
        <x:v>Returned</x:v>
      </x:c>
      <x:c r="S136" s="65" t="str">
        <x:v>No row returned</x:v>
      </x:c>
    </x:row>
    <x:row r="137">
      <x:c r="A137" s="65" t="str">
        <x:v>what are the applications of log amplifier</x:v>
      </x:c>
      <x:c r="B137" s="65" t="str">
        <x:v>Investigation and bug triage</x:v>
      </x:c>
      <x:c r="C137" s="65" t="str">
        <x:v>Bug reproduction</x:v>
      </x:c>
      <x:c r="D137" s="59" t="n">
        <x:v>0</x:v>
      </x:c>
      <x:c r="E137" s="59"/>
      <x:c r="F137" s="61" t="n">
        <x:v>0</x:v>
      </x:c>
      <x:c r="G137" s="61"/>
      <x:c r="H137" s="63"/>
      <x:c r="I137" s="63"/>
      <x:c r="J137" s="63" t="n">
        <x:v>1</x:v>
      </x:c>
      <x:c r="K137" s="65" t="str">
        <x:v>Analyst review of wording, validated scope and supplied SERP context</x:v>
      </x:c>
      <x:c r="L137" s="65" t="str">
        <x:v>Excluded</x:v>
      </x:c>
      <x:c r="M137" s="65" t="str">
        <x:v>Exclude</x:v>
      </x:c>
      <x:c r="N137" s="65" t="str">
        <x:v>Irrelevant electronics meaning of ‘log amplifier’.</x:v>
      </x:c>
      <x:c r="O137" s="65" t="str">
        <x:v>B — related/discovered</x:v>
      </x:c>
      <x:c r="P137" s="65" t="str">
        <x:v>what are application logs</x:v>
      </x:c>
      <x:c r="Q137" s="65" t="str">
        <x:v>question</x:v>
      </x:c>
      <x:c r="R137" s="65" t="str">
        <x:v>Returned</x:v>
      </x:c>
      <x:c r="S137" s="65" t="str">
        <x:v>No row returned</x:v>
      </x:c>
    </x:row>
    <x:row r="138">
      <x:c r="A138" s="65" t="str">
        <x:v>what are the practical applications of hydraulic log splitters</x:v>
      </x:c>
      <x:c r="B138" s="65" t="str">
        <x:v>Investigation and bug triage</x:v>
      </x:c>
      <x:c r="C138" s="65" t="str">
        <x:v>Bug reproduction</x:v>
      </x:c>
      <x:c r="D138" s="59" t="n">
        <x:v>0</x:v>
      </x:c>
      <x:c r="E138" s="59" t="n">
        <x:v>0</x:v>
      </x:c>
      <x:c r="F138" s="61" t="n">
        <x:v>0</x:v>
      </x:c>
      <x:c r="G138" s="61" t="n">
        <x:v>0</x:v>
      </x:c>
      <x:c r="H138" s="63"/>
      <x:c r="I138" s="63" t="n">
        <x:v>0</x:v>
      </x:c>
      <x:c r="J138" s="63" t="n">
        <x:v>1</x:v>
      </x:c>
      <x:c r="K138" s="65" t="str">
        <x:v>Analyst review of wording, validated scope and supplied SERP context</x:v>
      </x:c>
      <x:c r="L138" s="65" t="str">
        <x:v>Excluded</x:v>
      </x:c>
      <x:c r="M138" s="65" t="str">
        <x:v>Exclude</x:v>
      </x:c>
      <x:c r="N138" s="65" t="str">
        <x:v>Irrelevant physical meaning of ‘log’.</x:v>
      </x:c>
      <x:c r="O138" s="65" t="str">
        <x:v>B — related/discovered</x:v>
      </x:c>
      <x:c r="P138" s="65" t="str">
        <x:v>what are application logs</x:v>
      </x:c>
      <x:c r="Q138" s="65" t="str">
        <x:v>question</x:v>
      </x:c>
      <x:c r="R138" s="65" t="str">
        <x:v>Returned</x:v>
      </x:c>
      <x:c r="S138" s="65" t="str">
        <x:v>Returned</x:v>
      </x:c>
    </x:row>
    <x:row r="139">
      <x:c r="A139" s="65" t="str">
        <x:v>how to explain a reproducible bug to a developer</x:v>
      </x:c>
      <x:c r="B139" s="65" t="str">
        <x:v>Investigation and bug triage</x:v>
      </x:c>
      <x:c r="C139" s="65" t="str">
        <x:v>Bug reproduction</x:v>
      </x:c>
      <x:c r="D139" s="59" t="n">
        <x:v>0</x:v>
      </x:c>
      <x:c r="E139" s="59"/>
      <x:c r="F139" s="61" t="n">
        <x:v>0</x:v>
      </x:c>
      <x:c r="G139" s="61"/>
      <x:c r="H139" s="63"/>
      <x:c r="I139" s="63"/>
      <x:c r="J139" s="63" t="n">
        <x:v>3</x:v>
      </x:c>
      <x:c r="K139" s="65" t="str">
        <x:v>Analyst review of wording, validated scope and supplied SERP context</x:v>
      </x:c>
      <x:c r="L139" s="65" t="str">
        <x:v>Exact learning query</x:v>
      </x:c>
      <x:c r="M139" s="65" t="str">
        <x:v>Include</x:v>
      </x:c>
      <x:c r="N139" s="65" t="str">
        <x:v>Relevant to a validated PM need; retained despite zero or missing volume.</x:v>
      </x:c>
      <x:c r="O139" s="65" t="str">
        <x:v>B — related/discovered</x:v>
      </x:c>
      <x:c r="P139" s="65" t="str">
        <x:v>how to reproduce a bug</x:v>
      </x:c>
      <x:c r="Q139" s="65" t="str">
        <x:v>question</x:v>
      </x:c>
      <x:c r="R139" s="65" t="str">
        <x:v>Returned</x:v>
      </x:c>
      <x:c r="S139" s="65" t="str">
        <x:v>No row returned</x:v>
      </x:c>
    </x:row>
    <x:row r="140">
      <x:c r="A140" s="65" t="str">
        <x:v>how to reproduce a bug</x:v>
      </x:c>
      <x:c r="B140" s="65" t="str">
        <x:v>Investigation and bug triage</x:v>
      </x:c>
      <x:c r="C140" s="65" t="str">
        <x:v>Bug reproduction</x:v>
      </x:c>
      <x:c r="D140" s="59" t="n">
        <x:v>20</x:v>
      </x:c>
      <x:c r="E140" s="59" t="n">
        <x:v>0</x:v>
      </x:c>
      <x:c r="F140" s="61" t="n">
        <x:v>0</x:v>
      </x:c>
      <x:c r="G140" s="61" t="n">
        <x:v>0</x:v>
      </x:c>
      <x:c r="H140" s="63" t="n">
        <x:v>0</x:v>
      </x:c>
      <x:c r="I140" s="63" t="n">
        <x:v>0</x:v>
      </x:c>
      <x:c r="J140" s="63" t="n">
        <x:v>3</x:v>
      </x:c>
      <x:c r="K140" s="65" t="str">
        <x:v>Carried forward from search-language research (Google autocomplete (GB))</x:v>
      </x:c>
      <x:c r="L140" s="65" t="str">
        <x:v>Exact learning query</x:v>
      </x:c>
      <x:c r="M140" s="65" t="str">
        <x:v>Include</x:v>
      </x:c>
      <x:c r="N140" s="65" t="str">
        <x:v>Relevant observed learning phrase mapped to a validated PM need.</x:v>
      </x:c>
      <x:c r="O140" s="65" t="str">
        <x:v>A — observed seed</x:v>
      </x:c>
      <x:c r="P140" s="65" t="str">
        <x:v>how to reproduce a bug</x:v>
      </x:c>
      <x:c r="Q140" s="65" t="str">
        <x:v>Observed search-language seed</x:v>
      </x:c>
      <x:c r="R140" s="65" t="str">
        <x:v>Returned</x:v>
      </x:c>
      <x:c r="S140" s="65" t="str">
        <x:v>Returned</x:v>
      </x:c>
    </x:row>
    <x:row r="141">
      <x:c r="A141" s="65" t="str">
        <x:v>how to reproduce a bug in testing</x:v>
      </x:c>
      <x:c r="B141" s="65" t="str">
        <x:v>Investigation and bug triage</x:v>
      </x:c>
      <x:c r="C141" s="65" t="str">
        <x:v>Bug reproduction</x:v>
      </x:c>
      <x:c r="D141" s="59" t="n">
        <x:v>0</x:v>
      </x:c>
      <x:c r="E141" s="59"/>
      <x:c r="F141" s="61" t="n">
        <x:v>0</x:v>
      </x:c>
      <x:c r="G141" s="61"/>
      <x:c r="H141" s="63"/>
      <x:c r="I141" s="63"/>
      <x:c r="J141" s="63" t="n">
        <x:v>3</x:v>
      </x:c>
      <x:c r="K141" s="65" t="str">
        <x:v>Analyst review of wording, validated scope and supplied SERP context</x:v>
      </x:c>
      <x:c r="L141" s="65" t="str">
        <x:v>Exact learning query</x:v>
      </x:c>
      <x:c r="M141" s="65" t="str">
        <x:v>Include</x:v>
      </x:c>
      <x:c r="N141" s="65" t="str">
        <x:v>Relevant to a validated PM need; retained despite zero or missing volume.</x:v>
      </x:c>
      <x:c r="O141" s="65" t="str">
        <x:v>B — related/discovered</x:v>
      </x:c>
      <x:c r="P141" s="65" t="str">
        <x:v>how to reproduce a bug</x:v>
      </x:c>
      <x:c r="Q141" s="65" t="str">
        <x:v>question</x:v>
      </x:c>
      <x:c r="R141" s="65" t="str">
        <x:v>Returned</x:v>
      </x:c>
      <x:c r="S141" s="65" t="str">
        <x:v>No row returned</x:v>
      </x:c>
    </x:row>
    <x:row r="142">
      <x:c r="A142" s="65" t="str">
        <x:v>severity vs priority bug</x:v>
      </x:c>
      <x:c r="B142" s="65" t="str">
        <x:v>Investigation and bug triage</x:v>
      </x:c>
      <x:c r="C142" s="65" t="str">
        <x:v>Bug severity versus priority</x:v>
      </x:c>
      <x:c r="D142" s="59" t="n">
        <x:v>20</x:v>
      </x:c>
      <x:c r="E142" s="59" t="n">
        <x:v>20</x:v>
      </x:c>
      <x:c r="F142" s="61" t="n">
        <x:v>0</x:v>
      </x:c>
      <x:c r="G142" s="61" t="n">
        <x:v>0</x:v>
      </x:c>
      <x:c r="H142" s="63" t="n">
        <x:v>0</x:v>
      </x:c>
      <x:c r="I142" s="63" t="n">
        <x:v>0</x:v>
      </x:c>
      <x:c r="J142" s="63" t="n">
        <x:v>3</x:v>
      </x:c>
      <x:c r="K142" s="65" t="str">
        <x:v>Carried forward from search-language research (Google autocomplete (GB))</x:v>
      </x:c>
      <x:c r="L142" s="65" t="str">
        <x:v>Exact learning query</x:v>
      </x:c>
      <x:c r="M142" s="65" t="str">
        <x:v>Include</x:v>
      </x:c>
      <x:c r="N142" s="65" t="str">
        <x:v>Relevant observed learning phrase mapped to a validated PM need.</x:v>
      </x:c>
      <x:c r="O142" s="65" t="str">
        <x:v>A — observed seed</x:v>
      </x:c>
      <x:c r="P142" s="65" t="str">
        <x:v>severity vs priority bug</x:v>
      </x:c>
      <x:c r="Q142" s="65" t="str">
        <x:v>Observed search-language seed</x:v>
      </x:c>
      <x:c r="R142" s="65" t="str">
        <x:v>Returned</x:v>
      </x:c>
      <x:c r="S142" s="65" t="str">
        <x:v>Returned</x:v>
      </x:c>
    </x:row>
    <x:row r="143">
      <x:c r="A143" s="65" t="str">
        <x:v>bug triage process</x:v>
      </x:c>
      <x:c r="B143" s="65" t="str">
        <x:v>Investigation and bug triage</x:v>
      </x:c>
      <x:c r="C143" s="65" t="str">
        <x:v>Bug triage and backlog</x:v>
      </x:c>
      <x:c r="D143" s="59" t="n">
        <x:v>30</x:v>
      </x:c>
      <x:c r="E143" s="59" t="n">
        <x:v>20</x:v>
      </x:c>
      <x:c r="F143" s="61" t="n">
        <x:v>0</x:v>
      </x:c>
      <x:c r="G143" s="61" t="n">
        <x:v>0</x:v>
      </x:c>
      <x:c r="H143" s="63" t="n">
        <x:v>0</x:v>
      </x:c>
      <x:c r="I143" s="63" t="n">
        <x:v>0</x:v>
      </x:c>
      <x:c r="J143" s="63" t="n">
        <x:v>3</x:v>
      </x:c>
      <x:c r="K143" s="65" t="str">
        <x:v>Carried forward from search-language research (Google autocomplete (GB))</x:v>
      </x:c>
      <x:c r="L143" s="65" t="str">
        <x:v>Specific concept term</x:v>
      </x:c>
      <x:c r="M143" s="65" t="str">
        <x:v>Include</x:v>
      </x:c>
      <x:c r="N143" s="65" t="str">
        <x:v>Relevant observed learning phrase mapped to a validated PM need.</x:v>
      </x:c>
      <x:c r="O143" s="65" t="str">
        <x:v>A — observed seed</x:v>
      </x:c>
      <x:c r="P143" s="65" t="str">
        <x:v>bug triage process</x:v>
      </x:c>
      <x:c r="Q143" s="65" t="str">
        <x:v>Observed search-language seed</x:v>
      </x:c>
      <x:c r="R143" s="65" t="str">
        <x:v>Returned</x:v>
      </x:c>
      <x:c r="S143" s="65" t="str">
        <x:v>Returned</x:v>
      </x:c>
    </x:row>
    <x:row r="144">
      <x:c r="A144" s="65" t="str">
        <x:v>how qa teams organize bug backlog prioritization triage retesting process</x:v>
      </x:c>
      <x:c r="B144" s="65" t="str">
        <x:v>Investigation and bug triage</x:v>
      </x:c>
      <x:c r="C144" s="65" t="str">
        <x:v>Bug triage and backlog</x:v>
      </x:c>
      <x:c r="D144" s="59" t="n">
        <x:v>10</x:v>
      </x:c>
      <x:c r="E144" s="59"/>
      <x:c r="F144" s="61" t="n">
        <x:v>0</x:v>
      </x:c>
      <x:c r="G144" s="61"/>
      <x:c r="H144" s="63"/>
      <x:c r="I144" s="63"/>
      <x:c r="J144" s="63" t="n">
        <x:v>3</x:v>
      </x:c>
      <x:c r="K144" s="65" t="str">
        <x:v>Analyst review of wording, validated scope and supplied SERP context</x:v>
      </x:c>
      <x:c r="L144" s="65" t="str">
        <x:v>Exact learning query</x:v>
      </x:c>
      <x:c r="M144" s="65" t="str">
        <x:v>Include</x:v>
      </x:c>
      <x:c r="N144" s="65" t="str">
        <x:v>Relevant learning query mapped to a validated PM need.</x:v>
      </x:c>
      <x:c r="O144" s="65" t="str">
        <x:v>B — related/discovered</x:v>
      </x:c>
      <x:c r="P144" s="65" t="str">
        <x:v>bug triage process</x:v>
      </x:c>
      <x:c r="Q144" s="65" t="str">
        <x:v>question</x:v>
      </x:c>
      <x:c r="R144" s="65" t="str">
        <x:v>Returned</x:v>
      </x:c>
      <x:c r="S144" s="65" t="str">
        <x:v>No row returned</x:v>
      </x:c>
    </x:row>
    <x:row r="145">
      <x:c r="A145" s="65" t="str">
        <x:v>how to set up a scalable bug triage process</x:v>
      </x:c>
      <x:c r="B145" s="65" t="str">
        <x:v>Investigation and bug triage</x:v>
      </x:c>
      <x:c r="C145" s="65" t="str">
        <x:v>Bug triage and backlog</x:v>
      </x:c>
      <x:c r="D145" s="59" t="n">
        <x:v>10</x:v>
      </x:c>
      <x:c r="E145" s="59" t="n">
        <x:v>0</x:v>
      </x:c>
      <x:c r="F145" s="61" t="n">
        <x:v>0</x:v>
      </x:c>
      <x:c r="G145" s="61" t="n">
        <x:v>0</x:v>
      </x:c>
      <x:c r="H145" s="63"/>
      <x:c r="I145" s="63" t="n">
        <x:v>0</x:v>
      </x:c>
      <x:c r="J145" s="63" t="n">
        <x:v>3</x:v>
      </x:c>
      <x:c r="K145" s="65" t="str">
        <x:v>Analyst review of wording, validated scope and supplied SERP context</x:v>
      </x:c>
      <x:c r="L145" s="65" t="str">
        <x:v>Exact learning query</x:v>
      </x:c>
      <x:c r="M145" s="65" t="str">
        <x:v>Include</x:v>
      </x:c>
      <x:c r="N145" s="65" t="str">
        <x:v>Relevant learning query mapped to a validated PM need.</x:v>
      </x:c>
      <x:c r="O145" s="65" t="str">
        <x:v>B — related/discovered</x:v>
      </x:c>
      <x:c r="P145" s="65" t="str">
        <x:v>bug triage process</x:v>
      </x:c>
      <x:c r="Q145" s="65" t="str">
        <x:v>question</x:v>
      </x:c>
      <x:c r="R145" s="65" t="str">
        <x:v>Returned</x:v>
      </x:c>
      <x:c r="S145" s="65" t="str">
        <x:v>Returned</x:v>
      </x:c>
    </x:row>
    <x:row r="146">
      <x:c r="A146" s="65" t="str">
        <x:v>what is bug triage meeting</x:v>
      </x:c>
      <x:c r="B146" s="65" t="str">
        <x:v>Investigation and bug triage</x:v>
      </x:c>
      <x:c r="C146" s="65" t="str">
        <x:v>Bug triage and backlog</x:v>
      </x:c>
      <x:c r="D146" s="59" t="n">
        <x:v>20</x:v>
      </x:c>
      <x:c r="E146" s="59" t="n">
        <x:v>0</x:v>
      </x:c>
      <x:c r="F146" s="61" t="n">
        <x:v>0</x:v>
      </x:c>
      <x:c r="G146" s="61" t="n">
        <x:v>0</x:v>
      </x:c>
      <x:c r="H146" s="63" t="n">
        <x:v>0</x:v>
      </x:c>
      <x:c r="I146" s="63" t="n">
        <x:v>0</x:v>
      </x:c>
      <x:c r="J146" s="63" t="n">
        <x:v>3</x:v>
      </x:c>
      <x:c r="K146" s="65" t="str">
        <x:v>Carried forward from search-language research (Google autocomplete (GB))</x:v>
      </x:c>
      <x:c r="L146" s="65" t="str">
        <x:v>Exact learning query</x:v>
      </x:c>
      <x:c r="M146" s="65" t="str">
        <x:v>Include</x:v>
      </x:c>
      <x:c r="N146" s="65" t="str">
        <x:v>Relevant observed learning phrase mapped to a validated PM need.</x:v>
      </x:c>
      <x:c r="O146" s="65" t="str">
        <x:v>A — observed seed</x:v>
      </x:c>
      <x:c r="P146" s="65" t="str">
        <x:v>what is bug triage meeting</x:v>
      </x:c>
      <x:c r="Q146" s="65" t="str">
        <x:v>Observed search-language seed</x:v>
      </x:c>
      <x:c r="R146" s="65" t="str">
        <x:v>Returned</x:v>
      </x:c>
      <x:c r="S146" s="65" t="str">
        <x:v>Returned</x:v>
      </x:c>
    </x:row>
    <x:row r="147">
      <x:c r="A147" s="65" t="str">
        <x:v>what is bug triage process</x:v>
      </x:c>
      <x:c r="B147" s="65" t="str">
        <x:v>Investigation and bug triage</x:v>
      </x:c>
      <x:c r="C147" s="65" t="str">
        <x:v>Bug triage and backlog</x:v>
      </x:c>
      <x:c r="D147" s="59" t="n">
        <x:v>0</x:v>
      </x:c>
      <x:c r="E147" s="59"/>
      <x:c r="F147" s="61" t="n">
        <x:v>0</x:v>
      </x:c>
      <x:c r="G147" s="61"/>
      <x:c r="H147" s="63"/>
      <x:c r="I147" s="63"/>
      <x:c r="J147" s="63" t="n">
        <x:v>3</x:v>
      </x:c>
      <x:c r="K147" s="65" t="str">
        <x:v>Analyst review of wording, validated scope and supplied SERP context</x:v>
      </x:c>
      <x:c r="L147" s="65" t="str">
        <x:v>Exact learning query</x:v>
      </x:c>
      <x:c r="M147" s="65" t="str">
        <x:v>Include</x:v>
      </x:c>
      <x:c r="N147" s="65" t="str">
        <x:v>Relevant to a validated PM need; retained despite zero or missing volume.</x:v>
      </x:c>
      <x:c r="O147" s="65" t="str">
        <x:v>B — related/discovered</x:v>
      </x:c>
      <x:c r="P147" s="65" t="str">
        <x:v>bug triage process</x:v>
      </x:c>
      <x:c r="Q147" s="65" t="str">
        <x:v>question</x:v>
      </x:c>
      <x:c r="R147" s="65" t="str">
        <x:v>Returned</x:v>
      </x:c>
      <x:c r="S147" s="65" t="str">
        <x:v>No row returned</x:v>
      </x:c>
    </x:row>
    <x:row r="148">
      <x:c r="A148" s="65" t="str">
        <x:v>buy vs build software pros and cons</x:v>
      </x:c>
      <x:c r="B148" s="65" t="str">
        <x:v>Feasibility, technical debt and trade-offs</x:v>
      </x:c>
      <x:c r="C148" s="65" t="str">
        <x:v>Buy-versus-build trade-off</x:v>
      </x:c>
      <x:c r="D148" s="59" t="n">
        <x:v>20</x:v>
      </x:c>
      <x:c r="E148" s="59" t="n">
        <x:v>10</x:v>
      </x:c>
      <x:c r="F148" s="61" t="n">
        <x:v>0</x:v>
      </x:c>
      <x:c r="G148" s="61" t="n">
        <x:v>0</x:v>
      </x:c>
      <x:c r="H148" s="63" t="n">
        <x:v>0</x:v>
      </x:c>
      <x:c r="I148" s="63" t="n">
        <x:v>0</x:v>
      </x:c>
      <x:c r="J148" s="63" t="n">
        <x:v>3</x:v>
      </x:c>
      <x:c r="K148" s="65" t="str">
        <x:v>Carried forward from search-language research (Google autocomplete (GB))</x:v>
      </x:c>
      <x:c r="L148" s="65" t="str">
        <x:v>Exact learning query</x:v>
      </x:c>
      <x:c r="M148" s="65" t="str">
        <x:v>Include</x:v>
      </x:c>
      <x:c r="N148" s="65" t="str">
        <x:v>Relevant observed learning phrase mapped to a validated PM need.</x:v>
      </x:c>
      <x:c r="O148" s="65" t="str">
        <x:v>A — observed seed</x:v>
      </x:c>
      <x:c r="P148" s="65" t="str">
        <x:v>buy vs build software pros and cons</x:v>
      </x:c>
      <x:c r="Q148" s="65" t="str">
        <x:v>Observed search-language seed</x:v>
      </x:c>
      <x:c r="R148" s="65" t="str">
        <x:v>Returned</x:v>
      </x:c>
      <x:c r="S148" s="65" t="str">
        <x:v>Returned</x:v>
      </x:c>
    </x:row>
    <x:row r="149">
      <x:c r="A149" s="65" t="str">
        <x:v>most viable product</x:v>
      </x:c>
      <x:c r="B149" s="65" t="str">
        <x:v>Feasibility, technical debt and trade-offs</x:v>
      </x:c>
      <x:c r="C149" s="65" t="str">
        <x:v>MVP, prototype and POC distinctions</x:v>
      </x:c>
      <x:c r="D149" s="59" t="n">
        <x:v>2400</x:v>
      </x:c>
      <x:c r="E149" s="59" t="n">
        <x:v>70</x:v>
      </x:c>
      <x:c r="F149" s="61" t="n">
        <x:v>3.21</x:v>
      </x:c>
      <x:c r="G149" s="61" t="n">
        <x:v>2.29</x:v>
      </x:c>
      <x:c r="H149" s="63"/>
      <x:c r="I149" s="63" t="n">
        <x:v>0</x:v>
      </x:c>
      <x:c r="J149" s="63" t="n">
        <x:v>1</x:v>
      </x:c>
      <x:c r="K149" s="65" t="str">
        <x:v>Analyst review of wording, validated scope and supplied SERP context</x:v>
      </x:c>
      <x:c r="L149" s="65" t="str">
        <x:v>Excluded</x:v>
      </x:c>
      <x:c r="M149" s="65" t="str">
        <x:v>Exclude</x:v>
      </x:c>
      <x:c r="N149" s="65" t="str">
        <x:v>Incorrect/noisy expansion of MVP; not a defensible query for the validated need.</x:v>
      </x:c>
      <x:c r="O149" s="65" t="str">
        <x:v>B — related/discovered</x:v>
      </x:c>
      <x:c r="P149" s="65" t="str">
        <x:v>mvp vs prototype vs poc</x:v>
      </x:c>
      <x:c r="Q149" s="65" t="str">
        <x:v>related</x:v>
      </x:c>
      <x:c r="R149" s="65" t="str">
        <x:v>Returned</x:v>
      </x:c>
      <x:c r="S149" s="65" t="str">
        <x:v>Returned</x:v>
      </x:c>
    </x:row>
    <x:row r="150">
      <x:c r="A150" s="65" t="str">
        <x:v>mvp</x:v>
      </x:c>
      <x:c r="B150" s="65" t="str">
        <x:v>Feasibility, technical debt and trade-offs</x:v>
      </x:c>
      <x:c r="C150" s="65" t="str">
        <x:v>MVP, prototype and POC distinctions</x:v>
      </x:c>
      <x:c r="D150" s="59" t="n">
        <x:v>74000</x:v>
      </x:c>
      <x:c r="E150" s="59" t="n">
        <x:v>14800</x:v>
      </x:c>
      <x:c r="F150" s="61" t="n">
        <x:v>1.27</x:v>
      </x:c>
      <x:c r="G150" s="61" t="n">
        <x:v>2.4</x:v>
      </x:c>
      <x:c r="H150" s="63"/>
      <x:c r="I150" s="63" t="n">
        <x:v>65</x:v>
      </x:c>
      <x:c r="J150" s="63" t="n">
        <x:v>1</x:v>
      </x:c>
      <x:c r="K150" s="65" t="str">
        <x:v>Analyst review of wording, validated scope and supplied SERP context</x:v>
      </x:c>
      <x:c r="L150" s="65" t="str">
        <x:v>Excluded</x:v>
      </x:c>
      <x:c r="M150" s="65" t="str">
        <x:v>Exclude</x:v>
      </x:c>
      <x:c r="N150" s="65" t="str">
        <x:v>Ambiguous acronym; the supplied SERP already shows substantial healthcare and sports contamination.</x:v>
      </x:c>
      <x:c r="O150" s="65" t="str">
        <x:v>B — related/discovered</x:v>
      </x:c>
      <x:c r="P150" s="65" t="str">
        <x:v>mvp vs prototype vs poc</x:v>
      </x:c>
      <x:c r="Q150" s="65" t="str">
        <x:v>related</x:v>
      </x:c>
      <x:c r="R150" s="65" t="str">
        <x:v>Returned</x:v>
      </x:c>
      <x:c r="S150" s="65" t="str">
        <x:v>Returned</x:v>
      </x:c>
    </x:row>
    <x:row r="151">
      <x:c r="A151" s="65" t="str">
        <x:v>mvp meaning</x:v>
      </x:c>
      <x:c r="B151" s="65" t="str">
        <x:v>Feasibility, technical debt and trade-offs</x:v>
      </x:c>
      <x:c r="C151" s="65" t="str">
        <x:v>MVP, prototype and POC distinctions</x:v>
      </x:c>
      <x:c r="D151" s="59" t="n">
        <x:v>18100</x:v>
      </x:c>
      <x:c r="E151" s="59" t="n">
        <x:v>12100</x:v>
      </x:c>
      <x:c r="F151" s="61" t="n">
        <x:v>4.57</x:v>
      </x:c>
      <x:c r="G151" s="61" t="n">
        <x:v>0.94</x:v>
      </x:c>
      <x:c r="H151" s="63"/>
      <x:c r="I151" s="63" t="n">
        <x:v>52</x:v>
      </x:c>
      <x:c r="J151" s="63" t="n">
        <x:v>1</x:v>
      </x:c>
      <x:c r="K151" s="65" t="str">
        <x:v>Analyst review of wording, validated scope and supplied SERP context</x:v>
      </x:c>
      <x:c r="L151" s="65" t="str">
        <x:v>Excluded</x:v>
      </x:c>
      <x:c r="M151" s="65" t="str">
        <x:v>Exclude</x:v>
      </x:c>
      <x:c r="N151" s="65" t="str">
        <x:v>Ambiguous acronym query; volume cannot be assigned reliably to minimum viable product.</x:v>
      </x:c>
      <x:c r="O151" s="65" t="str">
        <x:v>B — related/discovered</x:v>
      </x:c>
      <x:c r="P151" s="65" t="str">
        <x:v>mvp vs prototype vs poc</x:v>
      </x:c>
      <x:c r="Q151" s="65" t="str">
        <x:v>related</x:v>
      </x:c>
      <x:c r="R151" s="65" t="str">
        <x:v>Returned</x:v>
      </x:c>
      <x:c r="S151" s="65" t="str">
        <x:v>Returned</x:v>
      </x:c>
    </x:row>
    <x:row r="152">
      <x:c r="A152" s="65" t="str">
        <x:v>mvp sportsplex</x:v>
      </x:c>
      <x:c r="B152" s="65" t="str">
        <x:v>Feasibility, technical debt and trade-offs</x:v>
      </x:c>
      <x:c r="C152" s="65" t="str">
        <x:v>MVP, prototype and POC distinctions</x:v>
      </x:c>
      <x:c r="D152" s="59" t="n">
        <x:v>3600</x:v>
      </x:c>
      <x:c r="E152" s="59" t="n">
        <x:v>20</x:v>
      </x:c>
      <x:c r="F152" s="61" t="n">
        <x:v>1.66</x:v>
      </x:c>
      <x:c r="G152" s="61" t="n">
        <x:v>0</x:v>
      </x:c>
      <x:c r="H152" s="63"/>
      <x:c r="I152" s="63" t="n">
        <x:v>0</x:v>
      </x:c>
      <x:c r="J152" s="63" t="n">
        <x:v>1</x:v>
      </x:c>
      <x:c r="K152" s="65" t="str">
        <x:v>Analyst review of wording, validated scope and supplied SERP context</x:v>
      </x:c>
      <x:c r="L152" s="65" t="str">
        <x:v>Excluded</x:v>
      </x:c>
      <x:c r="M152" s="65" t="str">
        <x:v>Exclude</x:v>
      </x:c>
      <x:c r="N152" s="65" t="str">
        <x:v>Irrelevant sports-club entity match.</x:v>
      </x:c>
      <x:c r="O152" s="65" t="str">
        <x:v>B — related/discovered</x:v>
      </x:c>
      <x:c r="P152" s="65" t="str">
        <x:v>mvp vs prototype vs poc</x:v>
      </x:c>
      <x:c r="Q152" s="65" t="str">
        <x:v>related</x:v>
      </x:c>
      <x:c r="R152" s="65" t="str">
        <x:v>Returned</x:v>
      </x:c>
      <x:c r="S152" s="65" t="str">
        <x:v>Returned</x:v>
      </x:c>
    </x:row>
    <x:row r="153">
      <x:c r="A153" s="65" t="str">
        <x:v>mvps</x:v>
      </x:c>
      <x:c r="B153" s="65" t="str">
        <x:v>Feasibility, technical debt and trade-offs</x:v>
      </x:c>
      <x:c r="C153" s="65" t="str">
        <x:v>MVP, prototype and POC distinctions</x:v>
      </x:c>
      <x:c r="D153" s="59" t="n">
        <x:v>2900</x:v>
      </x:c>
      <x:c r="E153" s="59" t="n">
        <x:v>1000</x:v>
      </x:c>
      <x:c r="F153" s="61" t="n">
        <x:v>1.27</x:v>
      </x:c>
      <x:c r="G153" s="61" t="n">
        <x:v>2.4</x:v>
      </x:c>
      <x:c r="H153" s="63"/>
      <x:c r="I153" s="63" t="n">
        <x:v>72</x:v>
      </x:c>
      <x:c r="J153" s="63" t="n">
        <x:v>1</x:v>
      </x:c>
      <x:c r="K153" s="65" t="str">
        <x:v>Analyst review of wording, validated scope and supplied SERP context</x:v>
      </x:c>
      <x:c r="L153" s="65" t="str">
        <x:v>Excluded</x:v>
      </x:c>
      <x:c r="M153" s="65" t="str">
        <x:v>Exclude</x:v>
      </x:c>
      <x:c r="N153" s="65" t="str">
        <x:v>Ambiguous plural/acronym with strong sports and non-product meanings.</x:v>
      </x:c>
      <x:c r="O153" s="65" t="str">
        <x:v>B — related/discovered</x:v>
      </x:c>
      <x:c r="P153" s="65" t="str">
        <x:v>mvp vs prototype vs poc</x:v>
      </x:c>
      <x:c r="Q153" s="65" t="str">
        <x:v>related</x:v>
      </x:c>
      <x:c r="R153" s="65" t="str">
        <x:v>Returned</x:v>
      </x:c>
      <x:c r="S153" s="65" t="str">
        <x:v>Returned</x:v>
      </x:c>
    </x:row>
    <x:row r="154">
      <x:c r="A154" s="65" t="str">
        <x:v>sportswear clubs</x:v>
      </x:c>
      <x:c r="B154" s="65" t="str">
        <x:v>Feasibility, technical debt and trade-offs</x:v>
      </x:c>
      <x:c r="C154" s="65" t="str">
        <x:v>MVP, prototype and POC distinctions</x:v>
      </x:c>
      <x:c r="D154" s="59" t="n">
        <x:v>18100</x:v>
      </x:c>
      <x:c r="E154" s="59" t="n">
        <x:v>5400</x:v>
      </x:c>
      <x:c r="F154" s="61" t="n">
        <x:v>0</x:v>
      </x:c>
      <x:c r="G154" s="61" t="n">
        <x:v>1.11</x:v>
      </x:c>
      <x:c r="H154" s="63"/>
      <x:c r="I154" s="63" t="n">
        <x:v>18</x:v>
      </x:c>
      <x:c r="J154" s="63" t="n">
        <x:v>1</x:v>
      </x:c>
      <x:c r="K154" s="65" t="str">
        <x:v>Analyst review of wording, validated scope and supplied SERP context</x:v>
      </x:c>
      <x:c r="L154" s="65" t="str">
        <x:v>Excluded</x:v>
      </x:c>
      <x:c r="M154" s="65" t="str">
        <x:v>Exclude</x:v>
      </x:c>
      <x:c r="N154" s="65" t="str">
        <x:v>Irrelevant sports semantic match from the MVP seed.</x:v>
      </x:c>
      <x:c r="O154" s="65" t="str">
        <x:v>B — related/discovered</x:v>
      </x:c>
      <x:c r="P154" s="65" t="str">
        <x:v>mvp vs prototype vs poc</x:v>
      </x:c>
      <x:c r="Q154" s="65" t="str">
        <x:v>related</x:v>
      </x:c>
      <x:c r="R154" s="65" t="str">
        <x:v>Returned</x:v>
      </x:c>
      <x:c r="S154" s="65" t="str">
        <x:v>Returned</x:v>
      </x:c>
    </x:row>
    <x:row r="155">
      <x:c r="A155" s="65" t="str">
        <x:v>sprots club</x:v>
      </x:c>
      <x:c r="B155" s="65" t="str">
        <x:v>Feasibility, technical debt and trade-offs</x:v>
      </x:c>
      <x:c r="C155" s="65" t="str">
        <x:v>MVP, prototype and POC distinctions</x:v>
      </x:c>
      <x:c r="D155" s="59" t="n">
        <x:v>3600</x:v>
      </x:c>
      <x:c r="E155" s="59" t="n">
        <x:v>0</x:v>
      </x:c>
      <x:c r="F155" s="61" t="n">
        <x:v>1.84</x:v>
      </x:c>
      <x:c r="G155" s="61" t="n">
        <x:v>1.21</x:v>
      </x:c>
      <x:c r="H155" s="63"/>
      <x:c r="I155" s="63" t="n">
        <x:v>0</x:v>
      </x:c>
      <x:c r="J155" s="63" t="n">
        <x:v>1</x:v>
      </x:c>
      <x:c r="K155" s="65" t="str">
        <x:v>Analyst review of wording, validated scope and supplied SERP context</x:v>
      </x:c>
      <x:c r="L155" s="65" t="str">
        <x:v>Excluded</x:v>
      </x:c>
      <x:c r="M155" s="65" t="str">
        <x:v>Exclude</x:v>
      </x:c>
      <x:c r="N155" s="65" t="str">
        <x:v>Irrelevant and misspelled sports semantic match.</x:v>
      </x:c>
      <x:c r="O155" s="65" t="str">
        <x:v>B — related/discovered</x:v>
      </x:c>
      <x:c r="P155" s="65" t="str">
        <x:v>mvp vs prototype vs poc</x:v>
      </x:c>
      <x:c r="Q155" s="65" t="str">
        <x:v>related</x:v>
      </x:c>
      <x:c r="R155" s="65" t="str">
        <x:v>Returned</x:v>
      </x:c>
      <x:c r="S155" s="65" t="str">
        <x:v>Returned</x:v>
      </x:c>
    </x:row>
    <x:row r="156">
      <x:c r="A156" s="65" t="str">
        <x:v>what does mvp mean</x:v>
      </x:c>
      <x:c r="B156" s="65" t="str">
        <x:v>Feasibility, technical debt and trade-offs</x:v>
      </x:c>
      <x:c r="C156" s="65" t="str">
        <x:v>MVP, prototype and POC distinctions</x:v>
      </x:c>
      <x:c r="D156" s="59" t="n">
        <x:v>5400</x:v>
      </x:c>
      <x:c r="E156" s="59" t="n">
        <x:v>2400</x:v>
      </x:c>
      <x:c r="F156" s="61" t="n">
        <x:v>3.92</x:v>
      </x:c>
      <x:c r="G156" s="61" t="n">
        <x:v>0</x:v>
      </x:c>
      <x:c r="H156" s="63"/>
      <x:c r="I156" s="63" t="n">
        <x:v>30</x:v>
      </x:c>
      <x:c r="J156" s="63" t="n">
        <x:v>1</x:v>
      </x:c>
      <x:c r="K156" s="65" t="str">
        <x:v>Analyst review of wording, validated scope and supplied SERP context</x:v>
      </x:c>
      <x:c r="L156" s="65" t="str">
        <x:v>Excluded</x:v>
      </x:c>
      <x:c r="M156" s="65" t="str">
        <x:v>Exclude</x:v>
      </x:c>
      <x:c r="N156" s="65" t="str">
        <x:v>Ambiguous acronym query; volume cannot be assigned reliably to minimum viable product.</x:v>
      </x:c>
      <x:c r="O156" s="65" t="str">
        <x:v>B — related/discovered</x:v>
      </x:c>
      <x:c r="P156" s="65" t="str">
        <x:v>mvp vs prototype vs poc</x:v>
      </x:c>
      <x:c r="Q156" s="65" t="str">
        <x:v>related</x:v>
      </x:c>
      <x:c r="R156" s="65" t="str">
        <x:v>Returned</x:v>
      </x:c>
      <x:c r="S156" s="65" t="str">
        <x:v>Returned</x:v>
      </x:c>
    </x:row>
    <x:row r="157">
      <x:c r="A157" s="65" t="str">
        <x:v>what is mvp</x:v>
      </x:c>
      <x:c r="B157" s="65" t="str">
        <x:v>Feasibility, technical debt and trade-offs</x:v>
      </x:c>
      <x:c r="C157" s="65" t="str">
        <x:v>MVP, prototype and POC distinctions</x:v>
      </x:c>
      <x:c r="D157" s="59" t="n">
        <x:v>3600</x:v>
      </x:c>
      <x:c r="E157" s="59" t="n">
        <x:v>1300</x:v>
      </x:c>
      <x:c r="F157" s="61" t="n">
        <x:v>2.45</x:v>
      </x:c>
      <x:c r="G157" s="61" t="n">
        <x:v>1.93</x:v>
      </x:c>
      <x:c r="H157" s="63"/>
      <x:c r="I157" s="63" t="n">
        <x:v>47</x:v>
      </x:c>
      <x:c r="J157" s="63" t="n">
        <x:v>1</x:v>
      </x:c>
      <x:c r="K157" s="65" t="str">
        <x:v>Analyst review of wording, validated scope and supplied SERP context</x:v>
      </x:c>
      <x:c r="L157" s="65" t="str">
        <x:v>Excluded</x:v>
      </x:c>
      <x:c r="M157" s="65" t="str">
        <x:v>Exclude</x:v>
      </x:c>
      <x:c r="N157" s="65" t="str">
        <x:v>Ambiguous acronym query; supplied SERPs show substantial non-product intent.</x:v>
      </x:c>
      <x:c r="O157" s="65" t="str">
        <x:v>B — related/discovered</x:v>
      </x:c>
      <x:c r="P157" s="65" t="str">
        <x:v>mvp vs prototype vs poc</x:v>
      </x:c>
      <x:c r="Q157" s="65" t="str">
        <x:v>related</x:v>
      </x:c>
      <x:c r="R157" s="65" t="str">
        <x:v>Returned</x:v>
      </x:c>
      <x:c r="S157" s="65" t="str">
        <x:v>Returned</x:v>
      </x:c>
    </x:row>
    <x:row r="158">
      <x:c r="A158" s="65" t="str">
        <x:v>minimum viable product</x:v>
      </x:c>
      <x:c r="B158" s="65" t="str">
        <x:v>Feasibility, technical debt and trade-offs</x:v>
      </x:c>
      <x:c r="C158" s="65" t="str">
        <x:v>MVP, prototype and POC distinctions</x:v>
      </x:c>
      <x:c r="D158" s="59" t="n">
        <x:v>6600</x:v>
      </x:c>
      <x:c r="E158" s="59" t="n">
        <x:v>1600</x:v>
      </x:c>
      <x:c r="F158" s="61" t="n">
        <x:v>3.21</x:v>
      </x:c>
      <x:c r="G158" s="61" t="n">
        <x:v>4.53</x:v>
      </x:c>
      <x:c r="H158" s="63"/>
      <x:c r="I158" s="63" t="n">
        <x:v>49</x:v>
      </x:c>
      <x:c r="J158" s="63" t="n">
        <x:v>2</x:v>
      </x:c>
      <x:c r="K158" s="65" t="str">
        <x:v>Analyst review of wording, validated scope and supplied SERP context</x:v>
      </x:c>
      <x:c r="L158" s="65" t="str">
        <x:v>Broad category term</x:v>
      </x:c>
      <x:c r="M158" s="65" t="str">
        <x:v>Include</x:v>
      </x:c>
      <x:c r="N158" s="65" t="str">
        <x:v>Relevant broad category; retained but kept separate from exact learning demand.</x:v>
      </x:c>
      <x:c r="O158" s="65" t="str">
        <x:v>B — related/discovered</x:v>
      </x:c>
      <x:c r="P158" s="65" t="str">
        <x:v>mvp vs prototype vs poc</x:v>
      </x:c>
      <x:c r="Q158" s="65" t="str">
        <x:v>related</x:v>
      </x:c>
      <x:c r="R158" s="65" t="str">
        <x:v>Returned</x:v>
      </x:c>
      <x:c r="S158" s="65" t="str">
        <x:v>Returned</x:v>
      </x:c>
    </x:row>
    <x:row r="159">
      <x:c r="A159" s="65" t="str">
        <x:v>mvp vs prototype vs poc</x:v>
      </x:c>
      <x:c r="B159" s="65" t="str">
        <x:v>Feasibility, technical debt and trade-offs</x:v>
      </x:c>
      <x:c r="C159" s="65" t="str">
        <x:v>MVP, prototype and POC distinctions</x:v>
      </x:c>
      <x:c r="D159" s="59" t="n">
        <x:v>50</x:v>
      </x:c>
      <x:c r="E159" s="59" t="n">
        <x:v>20</x:v>
      </x:c>
      <x:c r="F159" s="61" t="n">
        <x:v>0</x:v>
      </x:c>
      <x:c r="G159" s="61" t="n">
        <x:v>0</x:v>
      </x:c>
      <x:c r="H159" s="63" t="n">
        <x:v>44</x:v>
      </x:c>
      <x:c r="I159" s="63" t="n">
        <x:v>0</x:v>
      </x:c>
      <x:c r="J159" s="63" t="n">
        <x:v>3</x:v>
      </x:c>
      <x:c r="K159" s="65" t="str">
        <x:v>Carried forward from search-language research (Google autocomplete (GB))</x:v>
      </x:c>
      <x:c r="L159" s="65" t="str">
        <x:v>Exact learning query</x:v>
      </x:c>
      <x:c r="M159" s="65" t="str">
        <x:v>Include</x:v>
      </x:c>
      <x:c r="N159" s="65" t="str">
        <x:v>Relevant observed learning phrase mapped to a validated PM need.</x:v>
      </x:c>
      <x:c r="O159" s="65" t="str">
        <x:v>A — observed seed</x:v>
      </x:c>
      <x:c r="P159" s="65" t="str">
        <x:v>mvp vs prototype vs poc</x:v>
      </x:c>
      <x:c r="Q159" s="65" t="str">
        <x:v>Observed search-language seed</x:v>
      </x:c>
      <x:c r="R159" s="65" t="str">
        <x:v>Returned</x:v>
      </x:c>
      <x:c r="S159" s="65" t="str">
        <x:v>Returned</x:v>
      </x:c>
    </x:row>
    <x:row r="160">
      <x:c r="A160" s="65" t="str">
        <x:v>prototype vs production software</x:v>
      </x:c>
      <x:c r="B160" s="65" t="str">
        <x:v>Feasibility, technical debt and trade-offs</x:v>
      </x:c>
      <x:c r="C160" s="65" t="str">
        <x:v>Prototype-to-production boundary</x:v>
      </x:c>
      <x:c r="D160" s="59"/>
      <x:c r="E160" s="59"/>
      <x:c r="F160" s="61"/>
      <x:c r="G160" s="61"/>
      <x:c r="H160" s="63"/>
      <x:c r="I160" s="63"/>
      <x:c r="J160" s="63" t="n">
        <x:v>3</x:v>
      </x:c>
      <x:c r="K160" s="65" t="str">
        <x:v>Carried forward from search-language research (Google autocomplete (GB))</x:v>
      </x:c>
      <x:c r="L160" s="65" t="str">
        <x:v>Exact learning query</x:v>
      </x:c>
      <x:c r="M160" s="65" t="str">
        <x:v>Include</x:v>
      </x:c>
      <x:c r="N160" s="65" t="str">
        <x:v>Relevant observed learning phrase; retained despite missing Semrush rows in both countries.</x:v>
      </x:c>
      <x:c r="O160" s="65" t="str">
        <x:v>A — observed seed</x:v>
      </x:c>
      <x:c r="P160" s="65" t="str">
        <x:v>prototype vs production software</x:v>
      </x:c>
      <x:c r="Q160" s="65" t="str">
        <x:v>Observed search-language seed</x:v>
      </x:c>
      <x:c r="R160" s="65" t="str">
        <x:v>No row returned</x:v>
      </x:c>
      <x:c r="S160" s="65" t="str">
        <x:v>No row returned</x:v>
      </x:c>
    </x:row>
    <x:row r="161">
      <x:c r="A161" s="65" t="str">
        <x:v>code debt</x:v>
      </x:c>
      <x:c r="B161" s="65" t="str">
        <x:v>Feasibility, technical debt and trade-offs</x:v>
      </x:c>
      <x:c r="C161" s="65" t="str">
        <x:v>Technical-debt basics</x:v>
      </x:c>
      <x:c r="D161" s="59" t="n">
        <x:v>1300</x:v>
      </x:c>
      <x:c r="E161" s="59" t="n">
        <x:v>1000</x:v>
      </x:c>
      <x:c r="F161" s="61" t="n">
        <x:v>12</x:v>
      </x:c>
      <x:c r="G161" s="61" t="n">
        <x:v>2.4</x:v>
      </x:c>
      <x:c r="H161" s="63"/>
      <x:c r="I161" s="63" t="n">
        <x:v>47</x:v>
      </x:c>
      <x:c r="J161" s="63" t="n">
        <x:v>2</x:v>
      </x:c>
      <x:c r="K161" s="65" t="str">
        <x:v>Analyst review of wording, validated scope and supplied SERP context</x:v>
      </x:c>
      <x:c r="L161" s="65" t="str">
        <x:v>Specific concept term</x:v>
      </x:c>
      <x:c r="M161" s="65" t="str">
        <x:v>Include</x:v>
      </x:c>
      <x:c r="N161" s="65" t="str">
        <x:v>Relevant supporting concept; retained within its intent family without treating it as an exact learning query.</x:v>
      </x:c>
      <x:c r="O161" s="65" t="str">
        <x:v>B — related/discovered</x:v>
      </x:c>
      <x:c r="P161" s="65" t="str">
        <x:v>what is technical debt in software development</x:v>
      </x:c>
      <x:c r="Q161" s="65" t="str">
        <x:v>related</x:v>
      </x:c>
      <x:c r="R161" s="65" t="str">
        <x:v>Returned</x:v>
      </x:c>
      <x:c r="S161" s="65" t="str">
        <x:v>Returned</x:v>
      </x:c>
    </x:row>
    <x:row r="162">
      <x:c r="A162" s="65" t="str">
        <x:v>define technical debt</x:v>
      </x:c>
      <x:c r="B162" s="65" t="str">
        <x:v>Feasibility, technical debt and trade-offs</x:v>
      </x:c>
      <x:c r="C162" s="65" t="str">
        <x:v>Technical-debt basics</x:v>
      </x:c>
      <x:c r="D162" s="59" t="n">
        <x:v>880</x:v>
      </x:c>
      <x:c r="E162" s="59" t="n">
        <x:v>260</x:v>
      </x:c>
      <x:c r="F162" s="61" t="n">
        <x:v>1.8</x:v>
      </x:c>
      <x:c r="G162" s="61" t="n">
        <x:v>0.93</x:v>
      </x:c>
      <x:c r="H162" s="63"/>
      <x:c r="I162" s="63" t="n">
        <x:v>45</x:v>
      </x:c>
      <x:c r="J162" s="63" t="n">
        <x:v>2</x:v>
      </x:c>
      <x:c r="K162" s="65" t="str">
        <x:v>Analyst review of wording, validated scope and supplied SERP context</x:v>
      </x:c>
      <x:c r="L162" s="65" t="str">
        <x:v>Exact learning query</x:v>
      </x:c>
      <x:c r="M162" s="65" t="str">
        <x:v>Include</x:v>
      </x:c>
      <x:c r="N162" s="65" t="str">
        <x:v>Relevant learning query mapped to a validated PM need.</x:v>
      </x:c>
      <x:c r="O162" s="65" t="str">
        <x:v>B — related/discovered</x:v>
      </x:c>
      <x:c r="P162" s="65" t="str">
        <x:v>what is technical debt in software development</x:v>
      </x:c>
      <x:c r="Q162" s="65" t="str">
        <x:v>related</x:v>
      </x:c>
      <x:c r="R162" s="65" t="str">
        <x:v>Returned</x:v>
      </x:c>
      <x:c r="S162" s="65" t="str">
        <x:v>Returned</x:v>
      </x:c>
    </x:row>
    <x:row r="163">
      <x:c r="A163" s="65" t="str">
        <x:v>how to explain technical debt</x:v>
      </x:c>
      <x:c r="B163" s="65" t="str">
        <x:v>Feasibility, technical debt and trade-offs</x:v>
      </x:c>
      <x:c r="C163" s="65" t="str">
        <x:v>Technical-debt basics</x:v>
      </x:c>
      <x:c r="D163" s="59" t="n">
        <x:v>0</x:v>
      </x:c>
      <x:c r="E163" s="59" t="n">
        <x:v>0</x:v>
      </x:c>
      <x:c r="F163" s="61" t="n">
        <x:v>0</x:v>
      </x:c>
      <x:c r="G163" s="61" t="n">
        <x:v>0</x:v>
      </x:c>
      <x:c r="H163" s="63"/>
      <x:c r="I163" s="63" t="n">
        <x:v>0</x:v>
      </x:c>
      <x:c r="J163" s="63" t="n">
        <x:v>2</x:v>
      </x:c>
      <x:c r="K163" s="65" t="str">
        <x:v>Analyst review of wording, validated scope and supplied SERP context</x:v>
      </x:c>
      <x:c r="L163" s="65" t="str">
        <x:v>Exact learning query</x:v>
      </x:c>
      <x:c r="M163" s="65" t="str">
        <x:v>Include</x:v>
      </x:c>
      <x:c r="N163" s="65" t="str">
        <x:v>Relevant to a validated PM need; retained despite zero or missing volume.</x:v>
      </x:c>
      <x:c r="O163" s="65" t="str">
        <x:v>B — related/discovered</x:v>
      </x:c>
      <x:c r="P163" s="65" t="str">
        <x:v>technical debt explained</x:v>
      </x:c>
      <x:c r="Q163" s="65" t="str">
        <x:v>question</x:v>
      </x:c>
      <x:c r="R163" s="65" t="str">
        <x:v>Returned</x:v>
      </x:c>
      <x:c r="S163" s="65" t="str">
        <x:v>Returned</x:v>
      </x:c>
    </x:row>
    <x:row r="164">
      <x:c r="A164" s="65" t="str">
        <x:v>tech debt</x:v>
      </x:c>
      <x:c r="B164" s="65" t="str">
        <x:v>Feasibility, technical debt and trade-offs</x:v>
      </x:c>
      <x:c r="C164" s="65" t="str">
        <x:v>Technical-debt basics</x:v>
      </x:c>
      <x:c r="D164" s="59" t="n">
        <x:v>3600</x:v>
      </x:c>
      <x:c r="E164" s="59" t="n">
        <x:v>1000</x:v>
      </x:c>
      <x:c r="F164" s="61" t="n">
        <x:v>3.17</x:v>
      </x:c>
      <x:c r="G164" s="61" t="n">
        <x:v>2.4</x:v>
      </x:c>
      <x:c r="H164" s="63"/>
      <x:c r="I164" s="63" t="n">
        <x:v>47</x:v>
      </x:c>
      <x:c r="J164" s="63" t="n">
        <x:v>2</x:v>
      </x:c>
      <x:c r="K164" s="65" t="str">
        <x:v>Analyst review of wording, validated scope and supplied SERP context</x:v>
      </x:c>
      <x:c r="L164" s="65" t="str">
        <x:v>Broad category term</x:v>
      </x:c>
      <x:c r="M164" s="65" t="str">
        <x:v>Include</x:v>
      </x:c>
      <x:c r="N164" s="65" t="str">
        <x:v>Relevant broad category; retained but kept separate from exact learning demand.</x:v>
      </x:c>
      <x:c r="O164" s="65" t="str">
        <x:v>B — related/discovered</x:v>
      </x:c>
      <x:c r="P164" s="65" t="str">
        <x:v>what is technical debt in software development</x:v>
      </x:c>
      <x:c r="Q164" s="65" t="str">
        <x:v>related</x:v>
      </x:c>
      <x:c r="R164" s="65" t="str">
        <x:v>Returned</x:v>
      </x:c>
      <x:c r="S164" s="65" t="str">
        <x:v>Returned</x:v>
      </x:c>
    </x:row>
    <x:row r="165">
      <x:c r="A165" s="65" t="str">
        <x:v>tech debt meaning</x:v>
      </x:c>
      <x:c r="B165" s="65" t="str">
        <x:v>Feasibility, technical debt and trade-offs</x:v>
      </x:c>
      <x:c r="C165" s="65" t="str">
        <x:v>Technical-debt basics</x:v>
      </x:c>
      <x:c r="D165" s="59" t="n">
        <x:v>720</x:v>
      </x:c>
      <x:c r="E165" s="59" t="n">
        <x:v>170</x:v>
      </x:c>
      <x:c r="F165" s="61" t="n">
        <x:v>4.5</x:v>
      </x:c>
      <x:c r="G165" s="61" t="n">
        <x:v>0</x:v>
      </x:c>
      <x:c r="H165" s="63"/>
      <x:c r="I165" s="63" t="n">
        <x:v>49</x:v>
      </x:c>
      <x:c r="J165" s="63" t="n">
        <x:v>2</x:v>
      </x:c>
      <x:c r="K165" s="65" t="str">
        <x:v>Analyst review of wording, validated scope and supplied SERP context</x:v>
      </x:c>
      <x:c r="L165" s="65" t="str">
        <x:v>Exact learning query</x:v>
      </x:c>
      <x:c r="M165" s="65" t="str">
        <x:v>Include</x:v>
      </x:c>
      <x:c r="N165" s="65" t="str">
        <x:v>Relevant learning query mapped to a validated PM need.</x:v>
      </x:c>
      <x:c r="O165" s="65" t="str">
        <x:v>B — related/discovered</x:v>
      </x:c>
      <x:c r="P165" s="65" t="str">
        <x:v>what is technical debt in software development</x:v>
      </x:c>
      <x:c r="Q165" s="65" t="str">
        <x:v>related</x:v>
      </x:c>
      <x:c r="R165" s="65" t="str">
        <x:v>Returned</x:v>
      </x:c>
      <x:c r="S165" s="65" t="str">
        <x:v>Returned</x:v>
      </x:c>
    </x:row>
    <x:row r="166">
      <x:c r="A166" s="65" t="str">
        <x:v>technical debt</x:v>
      </x:c>
      <x:c r="B166" s="65" t="str">
        <x:v>Feasibility, technical debt and trade-offs</x:v>
      </x:c>
      <x:c r="C166" s="65" t="str">
        <x:v>Technical-debt basics</x:v>
      </x:c>
      <x:c r="D166" s="59" t="n">
        <x:v>5400</x:v>
      </x:c>
      <x:c r="E166" s="59" t="n">
        <x:v>1600</x:v>
      </x:c>
      <x:c r="F166" s="61" t="n">
        <x:v>3.17</x:v>
      </x:c>
      <x:c r="G166" s="61" t="n">
        <x:v>2.4</x:v>
      </x:c>
      <x:c r="H166" s="63"/>
      <x:c r="I166" s="63" t="n">
        <x:v>58</x:v>
      </x:c>
      <x:c r="J166" s="63" t="n">
        <x:v>2</x:v>
      </x:c>
      <x:c r="K166" s="65" t="str">
        <x:v>Analyst review of wording, validated scope and supplied SERP context</x:v>
      </x:c>
      <x:c r="L166" s="65" t="str">
        <x:v>Broad category term</x:v>
      </x:c>
      <x:c r="M166" s="65" t="str">
        <x:v>Include</x:v>
      </x:c>
      <x:c r="N166" s="65" t="str">
        <x:v>Relevant broad category; retained but kept separate from exact learning demand.</x:v>
      </x:c>
      <x:c r="O166" s="65" t="str">
        <x:v>B — related/discovered</x:v>
      </x:c>
      <x:c r="P166" s="65" t="str">
        <x:v>what is technical debt in software development</x:v>
      </x:c>
      <x:c r="Q166" s="65" t="str">
        <x:v>related</x:v>
      </x:c>
      <x:c r="R166" s="65" t="str">
        <x:v>Returned</x:v>
      </x:c>
      <x:c r="S166" s="65" t="str">
        <x:v>Returned</x:v>
      </x:c>
    </x:row>
    <x:row r="167">
      <x:c r="A167" s="65" t="str">
        <x:v>technical debt definition</x:v>
      </x:c>
      <x:c r="B167" s="65" t="str">
        <x:v>Feasibility, technical debt and trade-offs</x:v>
      </x:c>
      <x:c r="C167" s="65" t="str">
        <x:v>Technical-debt basics</x:v>
      </x:c>
      <x:c r="D167" s="59" t="n">
        <x:v>1000</x:v>
      </x:c>
      <x:c r="E167" s="59" t="n">
        <x:v>320</x:v>
      </x:c>
      <x:c r="F167" s="61" t="n">
        <x:v>1.8</x:v>
      </x:c>
      <x:c r="G167" s="61" t="n">
        <x:v>0.93</x:v>
      </x:c>
      <x:c r="H167" s="63"/>
      <x:c r="I167" s="63" t="n">
        <x:v>48</x:v>
      </x:c>
      <x:c r="J167" s="63" t="n">
        <x:v>2</x:v>
      </x:c>
      <x:c r="K167" s="65" t="str">
        <x:v>Analyst review of wording, validated scope and supplied SERP context</x:v>
      </x:c>
      <x:c r="L167" s="65" t="str">
        <x:v>Exact learning query</x:v>
      </x:c>
      <x:c r="M167" s="65" t="str">
        <x:v>Include</x:v>
      </x:c>
      <x:c r="N167" s="65" t="str">
        <x:v>Relevant learning query mapped to a validated PM need.</x:v>
      </x:c>
      <x:c r="O167" s="65" t="str">
        <x:v>B — related/discovered</x:v>
      </x:c>
      <x:c r="P167" s="65" t="str">
        <x:v>what is technical debt in software development</x:v>
      </x:c>
      <x:c r="Q167" s="65" t="str">
        <x:v>related</x:v>
      </x:c>
      <x:c r="R167" s="65" t="str">
        <x:v>Returned</x:v>
      </x:c>
      <x:c r="S167" s="65" t="str">
        <x:v>Returned</x:v>
      </x:c>
    </x:row>
    <x:row r="168">
      <x:c r="A168" s="65" t="str">
        <x:v>technical debt explained</x:v>
      </x:c>
      <x:c r="B168" s="65" t="str">
        <x:v>Feasibility, technical debt and trade-offs</x:v>
      </x:c>
      <x:c r="C168" s="65" t="str">
        <x:v>Technical-debt basics</x:v>
      </x:c>
      <x:c r="D168" s="59" t="n">
        <x:v>20</x:v>
      </x:c>
      <x:c r="E168" s="59" t="n">
        <x:v>20</x:v>
      </x:c>
      <x:c r="F168" s="61" t="n">
        <x:v>0</x:v>
      </x:c>
      <x:c r="G168" s="61" t="n">
        <x:v>0</x:v>
      </x:c>
      <x:c r="H168" s="63" t="n">
        <x:v>0</x:v>
      </x:c>
      <x:c r="I168" s="63" t="n">
        <x:v>0</x:v>
      </x:c>
      <x:c r="J168" s="63" t="n">
        <x:v>3</x:v>
      </x:c>
      <x:c r="K168" s="65" t="str">
        <x:v>Carried forward from search-language research (Google + YouTube autocomplete)</x:v>
      </x:c>
      <x:c r="L168" s="65" t="str">
        <x:v>Exact learning query</x:v>
      </x:c>
      <x:c r="M168" s="65" t="str">
        <x:v>Include</x:v>
      </x:c>
      <x:c r="N168" s="65" t="str">
        <x:v>Relevant observed learning phrase mapped to a validated PM need.</x:v>
      </x:c>
      <x:c r="O168" s="65" t="str">
        <x:v>A — observed seed</x:v>
      </x:c>
      <x:c r="P168" s="65" t="str">
        <x:v>technical debt explained</x:v>
      </x:c>
      <x:c r="Q168" s="65" t="str">
        <x:v>Observed search-language seed</x:v>
      </x:c>
      <x:c r="R168" s="65" t="str">
        <x:v>Returned</x:v>
      </x:c>
      <x:c r="S168" s="65" t="str">
        <x:v>Returned</x:v>
      </x:c>
    </x:row>
    <x:row r="169">
      <x:c r="A169" s="65" t="str">
        <x:v>technical debt explained for dummies</x:v>
      </x:c>
      <x:c r="B169" s="65" t="str">
        <x:v>Feasibility, technical debt and trade-offs</x:v>
      </x:c>
      <x:c r="C169" s="65" t="str">
        <x:v>Technical-debt basics</x:v>
      </x:c>
      <x:c r="D169" s="59"/>
      <x:c r="E169" s="59"/>
      <x:c r="F169" s="61"/>
      <x:c r="G169" s="61"/>
      <x:c r="H169" s="63"/>
      <x:c r="I169" s="63"/>
      <x:c r="J169" s="63" t="n">
        <x:v>3</x:v>
      </x:c>
      <x:c r="K169" s="65" t="str">
        <x:v>Carried forward from search-language research (Google related search)</x:v>
      </x:c>
      <x:c r="L169" s="65" t="str">
        <x:v>Exact learning query</x:v>
      </x:c>
      <x:c r="M169" s="65" t="str">
        <x:v>Include</x:v>
      </x:c>
      <x:c r="N169" s="65" t="str">
        <x:v>Relevant observed learning phrase; retained despite missing Semrush rows in both countries.</x:v>
      </x:c>
      <x:c r="O169" s="65" t="str">
        <x:v>A — observed seed</x:v>
      </x:c>
      <x:c r="P169" s="65" t="str">
        <x:v>technical debt explained for dummies</x:v>
      </x:c>
      <x:c r="Q169" s="65" t="str">
        <x:v>Observed search-language seed</x:v>
      </x:c>
      <x:c r="R169" s="65" t="str">
        <x:v>No row returned</x:v>
      </x:c>
      <x:c r="S169" s="65" t="str">
        <x:v>No row returned</x:v>
      </x:c>
    </x:row>
    <x:row r="170">
      <x:c r="A170" s="65" t="str">
        <x:v>technical debt meaning</x:v>
      </x:c>
      <x:c r="B170" s="65" t="str">
        <x:v>Feasibility, technical debt and trade-offs</x:v>
      </x:c>
      <x:c r="C170" s="65" t="str">
        <x:v>Technical-debt basics</x:v>
      </x:c>
      <x:c r="D170" s="59" t="n">
        <x:v>1000</x:v>
      </x:c>
      <x:c r="E170" s="59" t="n">
        <x:v>390</x:v>
      </x:c>
      <x:c r="F170" s="61" t="n">
        <x:v>1.8</x:v>
      </x:c>
      <x:c r="G170" s="61" t="n">
        <x:v>0.93</x:v>
      </x:c>
      <x:c r="H170" s="63"/>
      <x:c r="I170" s="63" t="n">
        <x:v>50</x:v>
      </x:c>
      <x:c r="J170" s="63" t="n">
        <x:v>2</x:v>
      </x:c>
      <x:c r="K170" s="65" t="str">
        <x:v>Analyst review of wording, validated scope and supplied SERP context</x:v>
      </x:c>
      <x:c r="L170" s="65" t="str">
        <x:v>Exact learning query</x:v>
      </x:c>
      <x:c r="M170" s="65" t="str">
        <x:v>Include</x:v>
      </x:c>
      <x:c r="N170" s="65" t="str">
        <x:v>Relevant learning query mapped to a validated PM need.</x:v>
      </x:c>
      <x:c r="O170" s="65" t="str">
        <x:v>B — related/discovered</x:v>
      </x:c>
      <x:c r="P170" s="65" t="str">
        <x:v>what is technical debt in software development</x:v>
      </x:c>
      <x:c r="Q170" s="65" t="str">
        <x:v>related</x:v>
      </x:c>
      <x:c r="R170" s="65" t="str">
        <x:v>Returned</x:v>
      </x:c>
      <x:c r="S170" s="65" t="str">
        <x:v>Returned</x:v>
      </x:c>
    </x:row>
    <x:row r="171">
      <x:c r="A171" s="65" t="str">
        <x:v>what is tech debt</x:v>
      </x:c>
      <x:c r="B171" s="65" t="str">
        <x:v>Feasibility, technical debt and trade-offs</x:v>
      </x:c>
      <x:c r="C171" s="65" t="str">
        <x:v>Technical-debt basics</x:v>
      </x:c>
      <x:c r="D171" s="59" t="n">
        <x:v>2900</x:v>
      </x:c>
      <x:c r="E171" s="59" t="n">
        <x:v>590</x:v>
      </x:c>
      <x:c r="F171" s="61" t="n">
        <x:v>2.5</x:v>
      </x:c>
      <x:c r="G171" s="61" t="n">
        <x:v>2.17</x:v>
      </x:c>
      <x:c r="H171" s="63"/>
      <x:c r="I171" s="63" t="n">
        <x:v>44</x:v>
      </x:c>
      <x:c r="J171" s="63" t="n">
        <x:v>2</x:v>
      </x:c>
      <x:c r="K171" s="65" t="str">
        <x:v>Analyst review of wording, validated scope and supplied SERP context</x:v>
      </x:c>
      <x:c r="L171" s="65" t="str">
        <x:v>Exact learning query</x:v>
      </x:c>
      <x:c r="M171" s="65" t="str">
        <x:v>Include</x:v>
      </x:c>
      <x:c r="N171" s="65" t="str">
        <x:v>Relevant learning query mapped to a validated PM need.</x:v>
      </x:c>
      <x:c r="O171" s="65" t="str">
        <x:v>B — related/discovered</x:v>
      </x:c>
      <x:c r="P171" s="65" t="str">
        <x:v>what is technical debt in software development</x:v>
      </x:c>
      <x:c r="Q171" s="65" t="str">
        <x:v>related</x:v>
      </x:c>
      <x:c r="R171" s="65" t="str">
        <x:v>Returned</x:v>
      </x:c>
      <x:c r="S171" s="65" t="str">
        <x:v>Returned</x:v>
      </x:c>
    </x:row>
    <x:row r="172">
      <x:c r="A172" s="65" t="str">
        <x:v>what is technical debt</x:v>
      </x:c>
      <x:c r="B172" s="65" t="str">
        <x:v>Feasibility, technical debt and trade-offs</x:v>
      </x:c>
      <x:c r="C172" s="65" t="str">
        <x:v>Technical-debt basics</x:v>
      </x:c>
      <x:c r="D172" s="59" t="n">
        <x:v>2900</x:v>
      </x:c>
      <x:c r="E172" s="59" t="n">
        <x:v>720</x:v>
      </x:c>
      <x:c r="F172" s="61" t="n">
        <x:v>2.5</x:v>
      </x:c>
      <x:c r="G172" s="61" t="n">
        <x:v>0.55</x:v>
      </x:c>
      <x:c r="H172" s="63"/>
      <x:c r="I172" s="63" t="n">
        <x:v>39</x:v>
      </x:c>
      <x:c r="J172" s="63" t="n">
        <x:v>2</x:v>
      </x:c>
      <x:c r="K172" s="65" t="str">
        <x:v>Analyst review of wording, validated scope and supplied SERP context</x:v>
      </x:c>
      <x:c r="L172" s="65" t="str">
        <x:v>Exact learning query</x:v>
      </x:c>
      <x:c r="M172" s="65" t="str">
        <x:v>Include</x:v>
      </x:c>
      <x:c r="N172" s="65" t="str">
        <x:v>Relevant learning query mapped to a validated PM need.</x:v>
      </x:c>
      <x:c r="O172" s="65" t="str">
        <x:v>B — related/discovered</x:v>
      </x:c>
      <x:c r="P172" s="65" t="str">
        <x:v>what is technical debt in software development</x:v>
      </x:c>
      <x:c r="Q172" s="65" t="str">
        <x:v>related</x:v>
      </x:c>
      <x:c r="R172" s="65" t="str">
        <x:v>Returned</x:v>
      </x:c>
      <x:c r="S172" s="65" t="str">
        <x:v>Returned</x:v>
      </x:c>
    </x:row>
    <x:row r="173">
      <x:c r="A173" s="65" t="str">
        <x:v>what is technical debt in software development</x:v>
      </x:c>
      <x:c r="B173" s="65" t="str">
        <x:v>Feasibility, technical debt and trade-offs</x:v>
      </x:c>
      <x:c r="C173" s="65" t="str">
        <x:v>Technical-debt basics</x:v>
      </x:c>
      <x:c r="D173" s="59" t="n">
        <x:v>110</x:v>
      </x:c>
      <x:c r="E173" s="59" t="n">
        <x:v>20</x:v>
      </x:c>
      <x:c r="F173" s="61" t="n">
        <x:v>1.99</x:v>
      </x:c>
      <x:c r="G173" s="61" t="n">
        <x:v>0</x:v>
      </x:c>
      <x:c r="H173" s="63" t="n">
        <x:v>42</x:v>
      </x:c>
      <x:c r="I173" s="63" t="n">
        <x:v>0</x:v>
      </x:c>
      <x:c r="J173" s="63" t="n">
        <x:v>3</x:v>
      </x:c>
      <x:c r="K173" s="65" t="str">
        <x:v>Carried forward from search-language research (Google related search)</x:v>
      </x:c>
      <x:c r="L173" s="65" t="str">
        <x:v>Exact learning query</x:v>
      </x:c>
      <x:c r="M173" s="65" t="str">
        <x:v>Include</x:v>
      </x:c>
      <x:c r="N173" s="65" t="str">
        <x:v>Relevant observed learning phrase mapped to a validated PM need.</x:v>
      </x:c>
      <x:c r="O173" s="65" t="str">
        <x:v>A — observed seed</x:v>
      </x:c>
      <x:c r="P173" s="65" t="str">
        <x:v>what is technical debt in software development</x:v>
      </x:c>
      <x:c r="Q173" s="65" t="str">
        <x:v>Observed search-language seed</x:v>
      </x:c>
      <x:c r="R173" s="65" t="str">
        <x:v>Returned</x:v>
      </x:c>
      <x:c r="S173" s="65" t="str">
        <x:v>Returned</x:v>
      </x:c>
    </x:row>
    <x:row r="174">
      <x:c r="A174" s="65" t="str">
        <x:v>How much technical debt is acceptable?</x:v>
      </x:c>
      <x:c r="B174" s="65" t="str">
        <x:v>Feasibility, technical debt and trade-offs</x:v>
      </x:c>
      <x:c r="C174" s="65" t="str">
        <x:v>Technical-debt decisions</x:v>
      </x:c>
      <x:c r="D174" s="59" t="n">
        <x:v>20</x:v>
      </x:c>
      <x:c r="E174" s="59" t="n">
        <x:v>10</x:v>
      </x:c>
      <x:c r="F174" s="61" t="n">
        <x:v>0</x:v>
      </x:c>
      <x:c r="G174" s="61" t="n">
        <x:v>0</x:v>
      </x:c>
      <x:c r="H174" s="63" t="n">
        <x:v>0</x:v>
      </x:c>
      <x:c r="I174" s="63" t="n">
        <x:v>0</x:v>
      </x:c>
      <x:c r="J174" s="63" t="n">
        <x:v>3</x:v>
      </x:c>
      <x:c r="K174" s="65" t="str">
        <x:v>Carried forward from search-language research (Google People Also Ask)</x:v>
      </x:c>
      <x:c r="L174" s="65" t="str">
        <x:v>Exact learning query</x:v>
      </x:c>
      <x:c r="M174" s="65" t="str">
        <x:v>Include</x:v>
      </x:c>
      <x:c r="N174" s="65" t="str">
        <x:v>Relevant observed learning phrase mapped to a validated PM need.</x:v>
      </x:c>
      <x:c r="O174" s="65" t="str">
        <x:v>A — observed seed</x:v>
      </x:c>
      <x:c r="P174" s="65" t="str">
        <x:v>How much technical debt is acceptable?</x:v>
      </x:c>
      <x:c r="Q174" s="65" t="str">
        <x:v>Observed search-language seed</x:v>
      </x:c>
      <x:c r="R174" s="65" t="str">
        <x:v>Returned</x:v>
      </x:c>
      <x:c r="S174" s="65" t="str">
        <x:v>Returned</x:v>
      </x:c>
    </x:row>
    <x:row r="175">
      <x:c r="A175" s="65" t="str">
        <x:v>tech debt quadrant</x:v>
      </x:c>
      <x:c r="B175" s="65" t="str">
        <x:v>Feasibility, technical debt and trade-offs</x:v>
      </x:c>
      <x:c r="C175" s="65" t="str">
        <x:v>Technical-debt decisions</x:v>
      </x:c>
      <x:c r="D175" s="59" t="n">
        <x:v>590</x:v>
      </x:c>
      <x:c r="E175" s="59" t="n">
        <x:v>20</x:v>
      </x:c>
      <x:c r="F175" s="61" t="n">
        <x:v>0</x:v>
      </x:c>
      <x:c r="G175" s="61" t="n">
        <x:v>0</x:v>
      </x:c>
      <x:c r="H175" s="63"/>
      <x:c r="I175" s="63" t="n">
        <x:v>0</x:v>
      </x:c>
      <x:c r="J175" s="63" t="n">
        <x:v>2</x:v>
      </x:c>
      <x:c r="K175" s="65" t="str">
        <x:v>Analyst review of wording, validated scope and supplied SERP context</x:v>
      </x:c>
      <x:c r="L175" s="65" t="str">
        <x:v>Specific concept term</x:v>
      </x:c>
      <x:c r="M175" s="65" t="str">
        <x:v>Include</x:v>
      </x:c>
      <x:c r="N175" s="65" t="str">
        <x:v>Relevant supporting concept; retained within its intent family without treating it as an exact learning query.</x:v>
      </x:c>
      <x:c r="O175" s="65" t="str">
        <x:v>B — related/discovered</x:v>
      </x:c>
      <x:c r="P175" s="65" t="str">
        <x:v>what is technical debt in software development</x:v>
      </x:c>
      <x:c r="Q175" s="65" t="str">
        <x:v>related</x:v>
      </x:c>
      <x:c r="R175" s="65" t="str">
        <x:v>Returned</x:v>
      </x:c>
      <x:c r="S175" s="65" t="str">
        <x:v>Returned</x:v>
      </x:c>
    </x:row>
    <x:row r="176">
      <x:c r="A176" s="65" t="str">
        <x:v>chat gpt browser. to automate vibing coding</x:v>
      </x:c>
      <x:c r="B176" s="65" t="str">
        <x:v>AI-assisted prototyping/building</x:v>
      </x:c>
      <x:c r="C176" s="65" t="str">
        <x:v>AI app building without coding</x:v>
      </x:c>
      <x:c r="D176" s="59" t="n">
        <x:v>1900</x:v>
      </x:c>
      <x:c r="E176" s="59"/>
      <x:c r="F176" s="61" t="n">
        <x:v>0</x:v>
      </x:c>
      <x:c r="G176" s="61"/>
      <x:c r="H176" s="63"/>
      <x:c r="I176" s="63"/>
      <x:c r="J176" s="63" t="n">
        <x:v>1</x:v>
      </x:c>
      <x:c r="K176" s="65" t="str">
        <x:v>Analyst review of wording, validated scope and supplied SERP context</x:v>
      </x:c>
      <x:c r="L176" s="65" t="str">
        <x:v>Excluded</x:v>
      </x:c>
      <x:c r="M176" s="65" t="str">
        <x:v>Exclude</x:v>
      </x:c>
      <x:c r="N176" s="65" t="str">
        <x:v>Malformed/noisy semantic match rather than a stable learning query.</x:v>
      </x:c>
      <x:c r="O176" s="65" t="str">
        <x:v>B — related/discovered</x:v>
      </x:c>
      <x:c r="P176" s="65" t="str">
        <x:v>vibe coding for beginners</x:v>
      </x:c>
      <x:c r="Q176" s="65" t="str">
        <x:v>related</x:v>
      </x:c>
      <x:c r="R176" s="65" t="str">
        <x:v>Returned</x:v>
      </x:c>
      <x:c r="S176" s="65" t="str">
        <x:v>No row returned</x:v>
      </x:c>
    </x:row>
    <x:row r="177">
      <x:c r="A177" s="65" t="str">
        <x:v>vide coding</x:v>
      </x:c>
      <x:c r="B177" s="65" t="str">
        <x:v>AI-assisted prototyping/building</x:v>
      </x:c>
      <x:c r="C177" s="65" t="str">
        <x:v>AI app building without coding</x:v>
      </x:c>
      <x:c r="D177" s="59" t="n">
        <x:v>1300</x:v>
      </x:c>
      <x:c r="E177" s="59" t="n">
        <x:v>320</x:v>
      </x:c>
      <x:c r="F177" s="61" t="n">
        <x:v>3.87</x:v>
      </x:c>
      <x:c r="G177" s="61" t="n">
        <x:v>2.74</x:v>
      </x:c>
      <x:c r="H177" s="63"/>
      <x:c r="I177" s="63" t="n">
        <x:v>61</x:v>
      </x:c>
      <x:c r="J177" s="63" t="n">
        <x:v>1</x:v>
      </x:c>
      <x:c r="K177" s="65" t="str">
        <x:v>Analyst review of wording, validated scope and supplied SERP context</x:v>
      </x:c>
      <x:c r="L177" s="65" t="str">
        <x:v>Excluded</x:v>
      </x:c>
      <x:c r="M177" s="65" t="str">
        <x:v>Exclude</x:v>
      </x:c>
      <x:c r="N177" s="65" t="str">
        <x:v>Obvious typo/noise; excluded rather than counted as independent vibe-coding demand.</x:v>
      </x:c>
      <x:c r="O177" s="65" t="str">
        <x:v>B — related/discovered</x:v>
      </x:c>
      <x:c r="P177" s="65" t="str">
        <x:v>vibe coding for beginners</x:v>
      </x:c>
      <x:c r="Q177" s="65" t="str">
        <x:v>related</x:v>
      </x:c>
      <x:c r="R177" s="65" t="str">
        <x:v>Returned</x:v>
      </x:c>
      <x:c r="S177" s="65" t="str">
        <x:v>Returned</x:v>
      </x:c>
    </x:row>
    <x:row r="178">
      <x:c r="A178" s="65" t="str">
        <x:v>how to build an app with ai (no experience required)</x:v>
      </x:c>
      <x:c r="B178" s="65" t="str">
        <x:v>AI-assisted prototyping/building</x:v>
      </x:c>
      <x:c r="C178" s="65" t="str">
        <x:v>AI app building without coding</x:v>
      </x:c>
      <x:c r="D178" s="59"/>
      <x:c r="E178" s="59"/>
      <x:c r="F178" s="61"/>
      <x:c r="G178" s="61"/>
      <x:c r="H178" s="63"/>
      <x:c r="I178" s="63"/>
      <x:c r="J178" s="63" t="n">
        <x:v>3</x:v>
      </x:c>
      <x:c r="K178" s="65" t="str">
        <x:v>Carried forward from search-language research (YouTube autocomplete (GB/US))</x:v>
      </x:c>
      <x:c r="L178" s="65" t="str">
        <x:v>Exact learning query</x:v>
      </x:c>
      <x:c r="M178" s="65" t="str">
        <x:v>Include</x:v>
      </x:c>
      <x:c r="N178" s="65" t="str">
        <x:v>Relevant observed learning phrase; retained despite missing Semrush rows in both countries.</x:v>
      </x:c>
      <x:c r="O178" s="65" t="str">
        <x:v>A — observed seed</x:v>
      </x:c>
      <x:c r="P178" s="65" t="str">
        <x:v>how to build an app with ai (no experience required)</x:v>
      </x:c>
      <x:c r="Q178" s="65" t="str">
        <x:v>Observed search-language seed</x:v>
      </x:c>
      <x:c r="R178" s="65" t="str">
        <x:v>No row returned</x:v>
      </x:c>
      <x:c r="S178" s="65" t="str">
        <x:v>No row returned</x:v>
      </x:c>
    </x:row>
    <x:row r="179">
      <x:c r="A179" s="65" t="str">
        <x:v>how to build app with ai without coding</x:v>
      </x:c>
      <x:c r="B179" s="65" t="str">
        <x:v>AI-assisted prototyping/building</x:v>
      </x:c>
      <x:c r="C179" s="65" t="str">
        <x:v>AI app building without coding</x:v>
      </x:c>
      <x:c r="D179" s="59"/>
      <x:c r="E179" s="59"/>
      <x:c r="F179" s="61"/>
      <x:c r="G179" s="61"/>
      <x:c r="H179" s="63"/>
      <x:c r="I179" s="63"/>
      <x:c r="J179" s="63" t="n">
        <x:v>3</x:v>
      </x:c>
      <x:c r="K179" s="65" t="str">
        <x:v>Carried forward from search-language research (YouTube autocomplete (GB/US))</x:v>
      </x:c>
      <x:c r="L179" s="65" t="str">
        <x:v>Exact learning query</x:v>
      </x:c>
      <x:c r="M179" s="65" t="str">
        <x:v>Include</x:v>
      </x:c>
      <x:c r="N179" s="65" t="str">
        <x:v>Relevant observed learning phrase; retained despite missing Semrush rows in both countries.</x:v>
      </x:c>
      <x:c r="O179" s="65" t="str">
        <x:v>A — observed seed</x:v>
      </x:c>
      <x:c r="P179" s="65" t="str">
        <x:v>how to build app with ai without coding</x:v>
      </x:c>
      <x:c r="Q179" s="65" t="str">
        <x:v>Observed search-language seed</x:v>
      </x:c>
      <x:c r="R179" s="65" t="str">
        <x:v>No row returned</x:v>
      </x:c>
      <x:c r="S179" s="65" t="str">
        <x:v>No row returned</x:v>
      </x:c>
    </x:row>
    <x:row r="180">
      <x:c r="A180" s="65" t="str">
        <x:v>how to use ai tools without coding for beginners</x:v>
      </x:c>
      <x:c r="B180" s="65" t="str">
        <x:v>AI-assisted prototyping/building</x:v>
      </x:c>
      <x:c r="C180" s="65" t="str">
        <x:v>AI app building without coding</x:v>
      </x:c>
      <x:c r="D180" s="59" t="n">
        <x:v>0</x:v>
      </x:c>
      <x:c r="E180" s="59"/>
      <x:c r="F180" s="61" t="n">
        <x:v>0</x:v>
      </x:c>
      <x:c r="G180" s="61"/>
      <x:c r="H180" s="63"/>
      <x:c r="I180" s="63"/>
      <x:c r="J180" s="63" t="n">
        <x:v>3</x:v>
      </x:c>
      <x:c r="K180" s="65" t="str">
        <x:v>Analyst review of wording, validated scope and supplied SERP context</x:v>
      </x:c>
      <x:c r="L180" s="65" t="str">
        <x:v>Exact learning query</x:v>
      </x:c>
      <x:c r="M180" s="65" t="str">
        <x:v>Include</x:v>
      </x:c>
      <x:c r="N180" s="65" t="str">
        <x:v>Relevant to a validated PM need; retained despite zero or missing volume.</x:v>
      </x:c>
      <x:c r="O180" s="65" t="str">
        <x:v>B — related/discovered</x:v>
      </x:c>
      <x:c r="P180" s="65" t="str">
        <x:v>ai coding tools for beginners</x:v>
      </x:c>
      <x:c r="Q180" s="65" t="str">
        <x:v>question</x:v>
      </x:c>
      <x:c r="R180" s="65" t="str">
        <x:v>Returned</x:v>
      </x:c>
      <x:c r="S180" s="65" t="str">
        <x:v>No row returned</x:v>
      </x:c>
    </x:row>
    <x:row r="181">
      <x:c r="A181" s="65" t="str">
        <x:v>ai coding tools for beginners</x:v>
      </x:c>
      <x:c r="B181" s="65" t="str">
        <x:v>AI-assisted prototyping/building</x:v>
      </x:c>
      <x:c r="C181" s="65" t="str">
        <x:v>AI coding tools for beginners</x:v>
      </x:c>
      <x:c r="D181" s="59" t="n">
        <x:v>10</x:v>
      </x:c>
      <x:c r="E181" s="59" t="n">
        <x:v>0</x:v>
      </x:c>
      <x:c r="F181" s="61" t="n">
        <x:v>0</x:v>
      </x:c>
      <x:c r="G181" s="61" t="n">
        <x:v>0</x:v>
      </x:c>
      <x:c r="H181" s="63" t="n">
        <x:v>0</x:v>
      </x:c>
      <x:c r="I181" s="63" t="n">
        <x:v>0</x:v>
      </x:c>
      <x:c r="J181" s="63" t="n">
        <x:v>3</x:v>
      </x:c>
      <x:c r="K181" s="65" t="str">
        <x:v>Carried forward from search-language research (Google autocomplete (GB))</x:v>
      </x:c>
      <x:c r="L181" s="65" t="str">
        <x:v>Exact learning query</x:v>
      </x:c>
      <x:c r="M181" s="65" t="str">
        <x:v>Include</x:v>
      </x:c>
      <x:c r="N181" s="65" t="str">
        <x:v>Relevant observed learning phrase mapped to a validated PM need.</x:v>
      </x:c>
      <x:c r="O181" s="65" t="str">
        <x:v>A — observed seed</x:v>
      </x:c>
      <x:c r="P181" s="65" t="str">
        <x:v>ai coding tools for beginners</x:v>
      </x:c>
      <x:c r="Q181" s="65" t="str">
        <x:v>Observed search-language seed</x:v>
      </x:c>
      <x:c r="R181" s="65" t="str">
        <x:v>Returned</x:v>
      </x:c>
      <x:c r="S181" s="65" t="str">
        <x:v>Returned</x:v>
      </x:c>
    </x:row>
    <x:row r="182">
      <x:c r="A182" s="65" t="str">
        <x:v>which ai coding tool is best for beginners</x:v>
      </x:c>
      <x:c r="B182" s="65" t="str">
        <x:v>AI-assisted prototyping/building</x:v>
      </x:c>
      <x:c r="C182" s="65" t="str">
        <x:v>AI coding tools for beginners</x:v>
      </x:c>
      <x:c r="D182" s="59" t="n">
        <x:v>0</x:v>
      </x:c>
      <x:c r="E182" s="59"/>
      <x:c r="F182" s="61" t="n">
        <x:v>0</x:v>
      </x:c>
      <x:c r="G182" s="61"/>
      <x:c r="H182" s="63"/>
      <x:c r="I182" s="63"/>
      <x:c r="J182" s="63" t="n">
        <x:v>3</x:v>
      </x:c>
      <x:c r="K182" s="65" t="str">
        <x:v>Analyst review of wording, validated scope and supplied SERP context</x:v>
      </x:c>
      <x:c r="L182" s="65" t="str">
        <x:v>Exact learning query</x:v>
      </x:c>
      <x:c r="M182" s="65" t="str">
        <x:v>Include</x:v>
      </x:c>
      <x:c r="N182" s="65" t="str">
        <x:v>Relevant to a validated PM need; retained despite zero or missing volume.</x:v>
      </x:c>
      <x:c r="O182" s="65" t="str">
        <x:v>B — related/discovered</x:v>
      </x:c>
      <x:c r="P182" s="65" t="str">
        <x:v>ai coding tools for beginners</x:v>
      </x:c>
      <x:c r="Q182" s="65" t="str">
        <x:v>question</x:v>
      </x:c>
      <x:c r="R182" s="65" t="str">
        <x:v>Returned</x:v>
      </x:c>
      <x:c r="S182" s="65" t="str">
        <x:v>No row returned</x:v>
      </x:c>
    </x:row>
    <x:row r="183">
      <x:c r="A183" s="65" t="str">
        <x:v>vibe coding production apps</x:v>
      </x:c>
      <x:c r="B183" s="65" t="str">
        <x:v>AI-assisted prototyping/building</x:v>
      </x:c>
      <x:c r="C183" s="65" t="str">
        <x:v>AI prototype-to-production boundary</x:v>
      </x:c>
      <x:c r="D183" s="59"/>
      <x:c r="E183" s="59"/>
      <x:c r="F183" s="61"/>
      <x:c r="G183" s="61"/>
      <x:c r="H183" s="63"/>
      <x:c r="I183" s="63"/>
      <x:c r="J183" s="63" t="n">
        <x:v>2</x:v>
      </x:c>
      <x:c r="K183" s="65" t="str">
        <x:v>Carried forward from search-language research (Google + YouTube autocomplete)</x:v>
      </x:c>
      <x:c r="L183" s="65" t="str">
        <x:v>Specific concept term</x:v>
      </x:c>
      <x:c r="M183" s="65" t="str">
        <x:v>Include</x:v>
      </x:c>
      <x:c r="N183" s="65" t="str">
        <x:v>Relevant observed learning phrase; retained despite missing Semrush rows in both countries.</x:v>
      </x:c>
      <x:c r="O183" s="65" t="str">
        <x:v>A — observed seed</x:v>
      </x:c>
      <x:c r="P183" s="65" t="str">
        <x:v>vibe coding production apps</x:v>
      </x:c>
      <x:c r="Q183" s="65" t="str">
        <x:v>Observed search-language seed</x:v>
      </x:c>
      <x:c r="R183" s="65" t="str">
        <x:v>No row returned</x:v>
      </x:c>
      <x:c r="S183" s="65" t="str">
        <x:v>No row returned</x:v>
      </x:c>
    </x:row>
    <x:row r="184">
      <x:c r="A184" s="65" t="str">
        <x:v>build mvp with ai</x:v>
      </x:c>
      <x:c r="B184" s="65" t="str">
        <x:v>AI-assisted prototyping/building</x:v>
      </x:c>
      <x:c r="C184" s="65" t="str">
        <x:v>AI-assisted MVP building</x:v>
      </x:c>
      <x:c r="D184" s="59" t="n">
        <x:v>20</x:v>
      </x:c>
      <x:c r="E184" s="59" t="n">
        <x:v>20</x:v>
      </x:c>
      <x:c r="F184" s="61" t="n">
        <x:v>0</x:v>
      </x:c>
      <x:c r="G184" s="61" t="n">
        <x:v>0</x:v>
      </x:c>
      <x:c r="H184" s="63" t="n">
        <x:v>0</x:v>
      </x:c>
      <x:c r="I184" s="63" t="n">
        <x:v>0</x:v>
      </x:c>
      <x:c r="J184" s="63" t="n">
        <x:v>3</x:v>
      </x:c>
      <x:c r="K184" s="65" t="str">
        <x:v>Carried forward from search-language research (Google + YouTube autocomplete)</x:v>
      </x:c>
      <x:c r="L184" s="65" t="str">
        <x:v>Exact learning query</x:v>
      </x:c>
      <x:c r="M184" s="65" t="str">
        <x:v>Include</x:v>
      </x:c>
      <x:c r="N184" s="65" t="str">
        <x:v>Relevant observed learning phrase mapped to a validated PM need.</x:v>
      </x:c>
      <x:c r="O184" s="65" t="str">
        <x:v>A — observed seed</x:v>
      </x:c>
      <x:c r="P184" s="65" t="str">
        <x:v>build mvp with ai</x:v>
      </x:c>
      <x:c r="Q184" s="65" t="str">
        <x:v>Observed search-language seed</x:v>
      </x:c>
      <x:c r="R184" s="65" t="str">
        <x:v>Returned</x:v>
      </x:c>
      <x:c r="S184" s="65" t="str">
        <x:v>Returned</x:v>
      </x:c>
    </x:row>
    <x:row r="185">
      <x:c r="A185" s="65" t="str">
        <x:v>how to build a scalable ai mvp with minimal budget</x:v>
      </x:c>
      <x:c r="B185" s="65" t="str">
        <x:v>AI-assisted prototyping/building</x:v>
      </x:c>
      <x:c r="C185" s="65" t="str">
        <x:v>AI-assisted MVP building</x:v>
      </x:c>
      <x:c r="D185" s="59" t="n">
        <x:v>0</x:v>
      </x:c>
      <x:c r="E185" s="59"/>
      <x:c r="F185" s="61" t="n">
        <x:v>0</x:v>
      </x:c>
      <x:c r="G185" s="61"/>
      <x:c r="H185" s="63"/>
      <x:c r="I185" s="63"/>
      <x:c r="J185" s="63" t="n">
        <x:v>3</x:v>
      </x:c>
      <x:c r="K185" s="65" t="str">
        <x:v>Analyst review of wording, validated scope and supplied SERP context</x:v>
      </x:c>
      <x:c r="L185" s="65" t="str">
        <x:v>Exact learning query</x:v>
      </x:c>
      <x:c r="M185" s="65" t="str">
        <x:v>Include</x:v>
      </x:c>
      <x:c r="N185" s="65" t="str">
        <x:v>Relevant to a validated PM need; retained despite zero or missing volume.</x:v>
      </x:c>
      <x:c r="O185" s="65" t="str">
        <x:v>B — related/discovered</x:v>
      </x:c>
      <x:c r="P185" s="65" t="str">
        <x:v>build mvp with ai</x:v>
      </x:c>
      <x:c r="Q185" s="65" t="str">
        <x:v>question</x:v>
      </x:c>
      <x:c r="R185" s="65" t="str">
        <x:v>Returned</x:v>
      </x:c>
      <x:c r="S185" s="65" t="str">
        <x:v>No row returned</x:v>
      </x:c>
    </x:row>
    <x:row r="186">
      <x:c r="A186" s="65" t="str">
        <x:v>how to build an mvp app with ai</x:v>
      </x:c>
      <x:c r="B186" s="65" t="str">
        <x:v>AI-assisted prototyping/building</x:v>
      </x:c>
      <x:c r="C186" s="65" t="str">
        <x:v>AI-assisted MVP building</x:v>
      </x:c>
      <x:c r="D186" s="59" t="n">
        <x:v>0</x:v>
      </x:c>
      <x:c r="E186" s="59"/>
      <x:c r="F186" s="61" t="n">
        <x:v>0</x:v>
      </x:c>
      <x:c r="G186" s="61"/>
      <x:c r="H186" s="63"/>
      <x:c r="I186" s="63"/>
      <x:c r="J186" s="63" t="n">
        <x:v>3</x:v>
      </x:c>
      <x:c r="K186" s="65" t="str">
        <x:v>Analyst review of wording, validated scope and supplied SERP context</x:v>
      </x:c>
      <x:c r="L186" s="65" t="str">
        <x:v>Exact learning query</x:v>
      </x:c>
      <x:c r="M186" s="65" t="str">
        <x:v>Include</x:v>
      </x:c>
      <x:c r="N186" s="65" t="str">
        <x:v>Relevant to a validated PM need; retained despite zero or missing volume.</x:v>
      </x:c>
      <x:c r="O186" s="65" t="str">
        <x:v>B — related/discovered</x:v>
      </x:c>
      <x:c r="P186" s="65" t="str">
        <x:v>build mvp with ai</x:v>
      </x:c>
      <x:c r="Q186" s="65" t="str">
        <x:v>question</x:v>
      </x:c>
      <x:c r="R186" s="65" t="str">
        <x:v>Returned</x:v>
      </x:c>
      <x:c r="S186" s="65" t="str">
        <x:v>No row returned</x:v>
      </x:c>
    </x:row>
    <x:row r="187">
      <x:c r="A187" s="65" t="str">
        <x:v>how to build mvp with ai</x:v>
      </x:c>
      <x:c r="B187" s="65" t="str">
        <x:v>AI-assisted prototyping/building</x:v>
      </x:c>
      <x:c r="C187" s="65" t="str">
        <x:v>AI-assisted MVP building</x:v>
      </x:c>
      <x:c r="D187" s="59" t="n">
        <x:v>10</x:v>
      </x:c>
      <x:c r="E187" s="59" t="n">
        <x:v>10</x:v>
      </x:c>
      <x:c r="F187" s="61" t="n">
        <x:v>0</x:v>
      </x:c>
      <x:c r="G187" s="61" t="n">
        <x:v>0</x:v>
      </x:c>
      <x:c r="H187" s="63"/>
      <x:c r="I187" s="63" t="n">
        <x:v>0</x:v>
      </x:c>
      <x:c r="J187" s="63" t="n">
        <x:v>3</x:v>
      </x:c>
      <x:c r="K187" s="65" t="str">
        <x:v>Analyst review of wording, validated scope and supplied SERP context</x:v>
      </x:c>
      <x:c r="L187" s="65" t="str">
        <x:v>Exact learning query</x:v>
      </x:c>
      <x:c r="M187" s="65" t="str">
        <x:v>Include</x:v>
      </x:c>
      <x:c r="N187" s="65" t="str">
        <x:v>Relevant learning query mapped to a validated PM need.</x:v>
      </x:c>
      <x:c r="O187" s="65" t="str">
        <x:v>B — related/discovered</x:v>
      </x:c>
      <x:c r="P187" s="65" t="str">
        <x:v>build mvp with ai</x:v>
      </x:c>
      <x:c r="Q187" s="65" t="str">
        <x:v>question</x:v>
      </x:c>
      <x:c r="R187" s="65" t="str">
        <x:v>Returned</x:v>
      </x:c>
      <x:c r="S187" s="65" t="str">
        <x:v>Returned</x:v>
      </x:c>
    </x:row>
    <x:row r="188">
      <x:c r="A188" s="65" t="str">
        <x:v>claude code for non technical beginners</x:v>
      </x:c>
      <x:c r="B188" s="65" t="str">
        <x:v>AI-assisted prototyping/building</x:v>
      </x:c>
      <x:c r="C188" s="65" t="str">
        <x:v>Claude Code for non-technical users</x:v>
      </x:c>
      <x:c r="D188" s="59"/>
      <x:c r="E188" s="59"/>
      <x:c r="F188" s="61"/>
      <x:c r="G188" s="61"/>
      <x:c r="H188" s="63"/>
      <x:c r="I188" s="63"/>
      <x:c r="J188" s="63" t="n">
        <x:v>3</x:v>
      </x:c>
      <x:c r="K188" s="65" t="str">
        <x:v>Carried forward from search-language research (Google autocomplete (GB))</x:v>
      </x:c>
      <x:c r="L188" s="65" t="str">
        <x:v>Specific concept term</x:v>
      </x:c>
      <x:c r="M188" s="65" t="str">
        <x:v>Include</x:v>
      </x:c>
      <x:c r="N188" s="65" t="str">
        <x:v>Relevant observed learning phrase; retained despite missing Semrush rows in both countries.</x:v>
      </x:c>
      <x:c r="O188" s="65" t="str">
        <x:v>A — observed seed</x:v>
      </x:c>
      <x:c r="P188" s="65" t="str">
        <x:v>claude code for non technical beginners</x:v>
      </x:c>
      <x:c r="Q188" s="65" t="str">
        <x:v>Observed search-language seed</x:v>
      </x:c>
      <x:c r="R188" s="65" t="str">
        <x:v>No row returned</x:v>
      </x:c>
      <x:c r="S188" s="65" t="str">
        <x:v>No row returned</x:v>
      </x:c>
    </x:row>
    <x:row r="189">
      <x:c r="A189" s="65" t="str">
        <x:v>claude code for non technical people</x:v>
      </x:c>
      <x:c r="B189" s="65" t="str">
        <x:v>AI-assisted prototyping/building</x:v>
      </x:c>
      <x:c r="C189" s="65" t="str">
        <x:v>Claude Code for non-technical users</x:v>
      </x:c>
      <x:c r="D189" s="59"/>
      <x:c r="E189" s="59"/>
      <x:c r="F189" s="61"/>
      <x:c r="G189" s="61"/>
      <x:c r="H189" s="63"/>
      <x:c r="I189" s="63"/>
      <x:c r="J189" s="63" t="n">
        <x:v>3</x:v>
      </x:c>
      <x:c r="K189" s="65" t="str">
        <x:v>Carried forward from search-language research (Google autocomplete (GB))</x:v>
      </x:c>
      <x:c r="L189" s="65" t="str">
        <x:v>Specific concept term</x:v>
      </x:c>
      <x:c r="M189" s="65" t="str">
        <x:v>Include</x:v>
      </x:c>
      <x:c r="N189" s="65" t="str">
        <x:v>Relevant observed learning phrase; retained despite missing Semrush rows in both countries.</x:v>
      </x:c>
      <x:c r="O189" s="65" t="str">
        <x:v>A — observed seed</x:v>
      </x:c>
      <x:c r="P189" s="65" t="str">
        <x:v>claude code for non technical people</x:v>
      </x:c>
      <x:c r="Q189" s="65" t="str">
        <x:v>Observed search-language seed</x:v>
      </x:c>
      <x:c r="R189" s="65" t="str">
        <x:v>No row returned</x:v>
      </x:c>
      <x:c r="S189" s="65" t="str">
        <x:v>No row returned</x:v>
      </x:c>
    </x:row>
    <x:row r="190">
      <x:c r="A190" s="65" t="str">
        <x:v>how to use claude code non technical</x:v>
      </x:c>
      <x:c r="B190" s="65" t="str">
        <x:v>AI-assisted prototyping/building</x:v>
      </x:c>
      <x:c r="C190" s="65" t="str">
        <x:v>Claude Code for non-technical users</x:v>
      </x:c>
      <x:c r="D190" s="59"/>
      <x:c r="E190" s="59"/>
      <x:c r="F190" s="61"/>
      <x:c r="G190" s="61"/>
      <x:c r="H190" s="63"/>
      <x:c r="I190" s="63"/>
      <x:c r="J190" s="63" t="n">
        <x:v>3</x:v>
      </x:c>
      <x:c r="K190" s="65" t="str">
        <x:v>Carried forward from search-language research (Google + YouTube autocomplete)</x:v>
      </x:c>
      <x:c r="L190" s="65" t="str">
        <x:v>Exact learning query</x:v>
      </x:c>
      <x:c r="M190" s="65" t="str">
        <x:v>Include</x:v>
      </x:c>
      <x:c r="N190" s="65" t="str">
        <x:v>Relevant observed learning phrase; retained despite missing Semrush rows in both countries.</x:v>
      </x:c>
      <x:c r="O190" s="65" t="str">
        <x:v>A — observed seed</x:v>
      </x:c>
      <x:c r="P190" s="65" t="str">
        <x:v>how to use claude code non technical</x:v>
      </x:c>
      <x:c r="Q190" s="65" t="str">
        <x:v>Observed search-language seed</x:v>
      </x:c>
      <x:c r="R190" s="65" t="str">
        <x:v>No row returned</x:v>
      </x:c>
      <x:c r="S190" s="65" t="str">
        <x:v>No row returned</x:v>
      </x:c>
    </x:row>
    <x:row r="191">
      <x:c r="A191" s="65" t="str">
        <x:v>how to use github for non coders</x:v>
      </x:c>
      <x:c r="B191" s="65" t="str">
        <x:v>AI-assisted prototyping/building</x:v>
      </x:c>
      <x:c r="C191" s="65" t="str">
        <x:v>GitHub for non-coders</x:v>
      </x:c>
      <x:c r="D191" s="59"/>
      <x:c r="E191" s="59"/>
      <x:c r="F191" s="61"/>
      <x:c r="G191" s="61"/>
      <x:c r="H191" s="63"/>
      <x:c r="I191" s="63"/>
      <x:c r="J191" s="63" t="n">
        <x:v>3</x:v>
      </x:c>
      <x:c r="K191" s="65" t="str">
        <x:v>Carried forward from search-language research (Google autocomplete (GB))</x:v>
      </x:c>
      <x:c r="L191" s="65" t="str">
        <x:v>Exact learning query</x:v>
      </x:c>
      <x:c r="M191" s="65" t="str">
        <x:v>Include</x:v>
      </x:c>
      <x:c r="N191" s="65" t="str">
        <x:v>Relevant observed learning phrase; retained despite missing Semrush rows in both countries.</x:v>
      </x:c>
      <x:c r="O191" s="65" t="str">
        <x:v>A — observed seed</x:v>
      </x:c>
      <x:c r="P191" s="65" t="str">
        <x:v>how to use github for non coders</x:v>
      </x:c>
      <x:c r="Q191" s="65" t="str">
        <x:v>Observed search-language seed</x:v>
      </x:c>
      <x:c r="R191" s="65" t="str">
        <x:v>No row returned</x:v>
      </x:c>
      <x:c r="S191" s="65" t="str">
        <x:v>No row returned</x:v>
      </x:c>
    </x:row>
    <x:row r="192">
      <x:c r="A192" s="65" t="str">
        <x:v>lovable for beginners</x:v>
      </x:c>
      <x:c r="B192" s="65" t="str">
        <x:v>AI-assisted prototyping/building</x:v>
      </x:c>
      <x:c r="C192" s="65" t="str">
        <x:v>Lovable for beginners</x:v>
      </x:c>
      <x:c r="D192" s="59"/>
      <x:c r="E192" s="59"/>
      <x:c r="F192" s="61"/>
      <x:c r="G192" s="61"/>
      <x:c r="H192" s="63"/>
      <x:c r="I192" s="63"/>
      <x:c r="J192" s="63" t="n">
        <x:v>3</x:v>
      </x:c>
      <x:c r="K192" s="65" t="str">
        <x:v>Carried forward from search-language research (Google + YouTube autocomplete)</x:v>
      </x:c>
      <x:c r="L192" s="65" t="str">
        <x:v>Exact learning query</x:v>
      </x:c>
      <x:c r="M192" s="65" t="str">
        <x:v>Include</x:v>
      </x:c>
      <x:c r="N192" s="65" t="str">
        <x:v>Relevant observed learning phrase; retained despite missing Semrush rows in both countries.</x:v>
      </x:c>
      <x:c r="O192" s="65" t="str">
        <x:v>A — observed seed</x:v>
      </x:c>
      <x:c r="P192" s="65" t="str">
        <x:v>lovable for beginners</x:v>
      </x:c>
      <x:c r="Q192" s="65" t="str">
        <x:v>Observed search-language seed</x:v>
      </x:c>
      <x:c r="R192" s="65" t="str">
        <x:v>No row returned</x:v>
      </x:c>
      <x:c r="S192" s="65" t="str">
        <x:v>No row returned</x:v>
      </x:c>
    </x:row>
    <x:row r="193">
      <x:c r="A193" s="65" t="str">
        <x:v>with vibe</x:v>
      </x:c>
      <x:c r="B193" s="65" t="str">
        <x:v>AI-assisted prototyping/building</x:v>
      </x:c>
      <x:c r="C193" s="65" t="str">
        <x:v>Vibe coding basics and mechanics</x:v>
      </x:c>
      <x:c r="D193" s="59" t="n">
        <x:v>8100</x:v>
      </x:c>
      <x:c r="E193" s="59" t="n">
        <x:v>1300</x:v>
      </x:c>
      <x:c r="F193" s="61" t="n">
        <x:v>1.3</x:v>
      </x:c>
      <x:c r="G193" s="61" t="n">
        <x:v>1.05</x:v>
      </x:c>
      <x:c r="H193" s="63"/>
      <x:c r="I193" s="63" t="n">
        <x:v>40</x:v>
      </x:c>
      <x:c r="J193" s="63" t="n">
        <x:v>1</x:v>
      </x:c>
      <x:c r="K193" s="65" t="str">
        <x:v>Analyst review of wording, validated scope and supplied SERP context</x:v>
      </x:c>
      <x:c r="L193" s="65" t="str">
        <x:v>Excluded</x:v>
      </x:c>
      <x:c r="M193" s="65" t="str">
        <x:v>Exclude</x:v>
      </x:c>
      <x:c r="N193" s="65" t="str">
        <x:v>Ambiguous phrase with no defensible connection to vibe coding.</x:v>
      </x:c>
      <x:c r="O193" s="65" t="str">
        <x:v>B — related/discovered</x:v>
      </x:c>
      <x:c r="P193" s="65" t="str">
        <x:v>how does vibe coding work</x:v>
      </x:c>
      <x:c r="Q193" s="65" t="str">
        <x:v>related</x:v>
      </x:c>
      <x:c r="R193" s="65" t="str">
        <x:v>Returned</x:v>
      </x:c>
      <x:c r="S193" s="65" t="str">
        <x:v>Returned</x:v>
      </x:c>
    </x:row>
    <x:row r="194">
      <x:c r="A194" s="65" t="str">
        <x:v>how does vibe coding work</x:v>
      </x:c>
      <x:c r="B194" s="65" t="str">
        <x:v>AI-assisted prototyping/building</x:v>
      </x:c>
      <x:c r="C194" s="65" t="str">
        <x:v>Vibe coding basics and mechanics</x:v>
      </x:c>
      <x:c r="D194" s="59" t="n">
        <x:v>70</x:v>
      </x:c>
      <x:c r="E194" s="59" t="n">
        <x:v>30</x:v>
      </x:c>
      <x:c r="F194" s="61" t="n">
        <x:v>1.95</x:v>
      </x:c>
      <x:c r="G194" s="61" t="n">
        <x:v>1.09</x:v>
      </x:c>
      <x:c r="H194" s="63" t="n">
        <x:v>49</x:v>
      </x:c>
      <x:c r="I194" s="63" t="n">
        <x:v>0</x:v>
      </x:c>
      <x:c r="J194" s="63" t="n">
        <x:v>3</x:v>
      </x:c>
      <x:c r="K194" s="65" t="str">
        <x:v>Carried forward from search-language research (Google + YouTube autocomplete)</x:v>
      </x:c>
      <x:c r="L194" s="65" t="str">
        <x:v>Exact learning query</x:v>
      </x:c>
      <x:c r="M194" s="65" t="str">
        <x:v>Include</x:v>
      </x:c>
      <x:c r="N194" s="65" t="str">
        <x:v>Relevant observed learning phrase mapped to a validated PM need.</x:v>
      </x:c>
      <x:c r="O194" s="65" t="str">
        <x:v>A — observed seed</x:v>
      </x:c>
      <x:c r="P194" s="65" t="str">
        <x:v>how does vibe coding work</x:v>
      </x:c>
      <x:c r="Q194" s="65" t="str">
        <x:v>Observed search-language seed</x:v>
      </x:c>
      <x:c r="R194" s="65" t="str">
        <x:v>Returned</x:v>
      </x:c>
      <x:c r="S194" s="65" t="str">
        <x:v>Returned</x:v>
      </x:c>
    </x:row>
    <x:row r="195">
      <x:c r="A195" s="65" t="str">
        <x:v>how to learn vibe coding for beginners</x:v>
      </x:c>
      <x:c r="B195" s="65" t="str">
        <x:v>AI-assisted prototyping/building</x:v>
      </x:c>
      <x:c r="C195" s="65" t="str">
        <x:v>Vibe coding basics and mechanics</x:v>
      </x:c>
      <x:c r="D195" s="59" t="n">
        <x:v>10</x:v>
      </x:c>
      <x:c r="E195" s="59"/>
      <x:c r="F195" s="61" t="n">
        <x:v>3.5</x:v>
      </x:c>
      <x:c r="G195" s="61"/>
      <x:c r="H195" s="63"/>
      <x:c r="I195" s="63"/>
      <x:c r="J195" s="63" t="n">
        <x:v>3</x:v>
      </x:c>
      <x:c r="K195" s="65" t="str">
        <x:v>Analyst review of wording, validated scope and supplied SERP context</x:v>
      </x:c>
      <x:c r="L195" s="65" t="str">
        <x:v>Exact learning query</x:v>
      </x:c>
      <x:c r="M195" s="65" t="str">
        <x:v>Include</x:v>
      </x:c>
      <x:c r="N195" s="65" t="str">
        <x:v>Relevant learning query mapped to a validated PM need.</x:v>
      </x:c>
      <x:c r="O195" s="65" t="str">
        <x:v>B — related/discovered</x:v>
      </x:c>
      <x:c r="P195" s="65" t="str">
        <x:v>vibe coding for beginners</x:v>
      </x:c>
      <x:c r="Q195" s="65" t="str">
        <x:v>question</x:v>
      </x:c>
      <x:c r="R195" s="65" t="str">
        <x:v>Returned</x:v>
      </x:c>
      <x:c r="S195" s="65" t="str">
        <x:v>No row returned</x:v>
      </x:c>
    </x:row>
    <x:row r="196">
      <x:c r="A196" s="65" t="str">
        <x:v>how to vibe code</x:v>
      </x:c>
      <x:c r="B196" s="65" t="str">
        <x:v>AI-assisted prototyping/building</x:v>
      </x:c>
      <x:c r="C196" s="65" t="str">
        <x:v>Vibe coding basics and mechanics</x:v>
      </x:c>
      <x:c r="D196" s="59" t="n">
        <x:v>1600</x:v>
      </x:c>
      <x:c r="E196" s="59" t="n">
        <x:v>170</x:v>
      </x:c>
      <x:c r="F196" s="61" t="n">
        <x:v>5.05</x:v>
      </x:c>
      <x:c r="G196" s="61" t="n">
        <x:v>2.69</x:v>
      </x:c>
      <x:c r="H196" s="63"/>
      <x:c r="I196" s="63" t="n">
        <x:v>50</x:v>
      </x:c>
      <x:c r="J196" s="63" t="n">
        <x:v>3</x:v>
      </x:c>
      <x:c r="K196" s="65" t="str">
        <x:v>Analyst review of wording, validated scope and supplied SERP context</x:v>
      </x:c>
      <x:c r="L196" s="65" t="str">
        <x:v>Exact learning query</x:v>
      </x:c>
      <x:c r="M196" s="65" t="str">
        <x:v>Include</x:v>
      </x:c>
      <x:c r="N196" s="65" t="str">
        <x:v>Relevant learning query mapped to a validated PM need.</x:v>
      </x:c>
      <x:c r="O196" s="65" t="str">
        <x:v>B — related/discovered</x:v>
      </x:c>
      <x:c r="P196" s="65" t="str">
        <x:v>vibe coding for beginners</x:v>
      </x:c>
      <x:c r="Q196" s="65" t="str">
        <x:v>related</x:v>
      </x:c>
      <x:c r="R196" s="65" t="str">
        <x:v>Returned</x:v>
      </x:c>
      <x:c r="S196" s="65" t="str">
        <x:v>Returned</x:v>
      </x:c>
    </x:row>
    <x:row r="197">
      <x:c r="A197" s="65" t="str">
        <x:v>vibe code</x:v>
      </x:c>
      <x:c r="B197" s="65" t="str">
        <x:v>AI-assisted prototyping/building</x:v>
      </x:c>
      <x:c r="C197" s="65" t="str">
        <x:v>Vibe coding basics and mechanics</x:v>
      </x:c>
      <x:c r="D197" s="59" t="n">
        <x:v>27100</x:v>
      </x:c>
      <x:c r="E197" s="59" t="n">
        <x:v>1600</x:v>
      </x:c>
      <x:c r="F197" s="61" t="n">
        <x:v>4.32</x:v>
      </x:c>
      <x:c r="G197" s="61" t="n">
        <x:v>2.74</x:v>
      </x:c>
      <x:c r="H197" s="63"/>
      <x:c r="I197" s="63" t="n">
        <x:v>66</x:v>
      </x:c>
      <x:c r="J197" s="63" t="n">
        <x:v>2</x:v>
      </x:c>
      <x:c r="K197" s="65" t="str">
        <x:v>Analyst review of wording, validated scope and supplied SERP context</x:v>
      </x:c>
      <x:c r="L197" s="65" t="str">
        <x:v>Broad category term</x:v>
      </x:c>
      <x:c r="M197" s="65" t="str">
        <x:v>Include</x:v>
      </x:c>
      <x:c r="N197" s="65" t="str">
        <x:v>Relevant broad category; retained but kept separate from exact learning demand.</x:v>
      </x:c>
      <x:c r="O197" s="65" t="str">
        <x:v>B — related/discovered</x:v>
      </x:c>
      <x:c r="P197" s="65" t="str">
        <x:v>vibe coding for beginners; how does vibe coding work</x:v>
      </x:c>
      <x:c r="Q197" s="65" t="str">
        <x:v>related</x:v>
      </x:c>
      <x:c r="R197" s="65" t="str">
        <x:v>Returned</x:v>
      </x:c>
      <x:c r="S197" s="65" t="str">
        <x:v>Returned</x:v>
      </x:c>
    </x:row>
    <x:row r="198">
      <x:c r="A198" s="65" t="str">
        <x:v>vibe coded</x:v>
      </x:c>
      <x:c r="B198" s="65" t="str">
        <x:v>AI-assisted prototyping/building</x:v>
      </x:c>
      <x:c r="C198" s="65" t="str">
        <x:v>Vibe coding basics and mechanics</x:v>
      </x:c>
      <x:c r="D198" s="59" t="n">
        <x:v>4400</x:v>
      </x:c>
      <x:c r="E198" s="59" t="n">
        <x:v>260</x:v>
      </x:c>
      <x:c r="F198" s="61" t="n">
        <x:v>4.32</x:v>
      </x:c>
      <x:c r="G198" s="61" t="n">
        <x:v>2.74</x:v>
      </x:c>
      <x:c r="H198" s="63"/>
      <x:c r="I198" s="63" t="n">
        <x:v>80</x:v>
      </x:c>
      <x:c r="J198" s="63" t="n">
        <x:v>2</x:v>
      </x:c>
      <x:c r="K198" s="65" t="str">
        <x:v>Analyst review of wording, validated scope and supplied SERP context</x:v>
      </x:c>
      <x:c r="L198" s="65" t="str">
        <x:v>Broad category term</x:v>
      </x:c>
      <x:c r="M198" s="65" t="str">
        <x:v>Include</x:v>
      </x:c>
      <x:c r="N198" s="65" t="str">
        <x:v>Relevant broad category; retained but kept separate from exact learning demand.</x:v>
      </x:c>
      <x:c r="O198" s="65" t="str">
        <x:v>B — related/discovered</x:v>
      </x:c>
      <x:c r="P198" s="65" t="str">
        <x:v>vibe coding for beginners; how does vibe coding work</x:v>
      </x:c>
      <x:c r="Q198" s="65" t="str">
        <x:v>related</x:v>
      </x:c>
      <x:c r="R198" s="65" t="str">
        <x:v>Returned</x:v>
      </x:c>
      <x:c r="S198" s="65" t="str">
        <x:v>Returned</x:v>
      </x:c>
    </x:row>
    <x:row r="199">
      <x:c r="A199" s="65" t="str">
        <x:v>vibe coder</x:v>
      </x:c>
      <x:c r="B199" s="65" t="str">
        <x:v>AI-assisted prototyping/building</x:v>
      </x:c>
      <x:c r="C199" s="65" t="str">
        <x:v>Vibe coding basics and mechanics</x:v>
      </x:c>
      <x:c r="D199" s="59" t="n">
        <x:v>9900</x:v>
      </x:c>
      <x:c r="E199" s="59" t="n">
        <x:v>1300</x:v>
      </x:c>
      <x:c r="F199" s="61" t="n">
        <x:v>4.32</x:v>
      </x:c>
      <x:c r="G199" s="61" t="n">
        <x:v>2.74</x:v>
      </x:c>
      <x:c r="H199" s="63"/>
      <x:c r="I199" s="63" t="n">
        <x:v>57</x:v>
      </x:c>
      <x:c r="J199" s="63" t="n">
        <x:v>2</x:v>
      </x:c>
      <x:c r="K199" s="65" t="str">
        <x:v>Analyst review of wording, validated scope and supplied SERP context</x:v>
      </x:c>
      <x:c r="L199" s="65" t="str">
        <x:v>Broad category term</x:v>
      </x:c>
      <x:c r="M199" s="65" t="str">
        <x:v>Include</x:v>
      </x:c>
      <x:c r="N199" s="65" t="str">
        <x:v>Relevant broad category; retained but kept separate from exact learning demand.</x:v>
      </x:c>
      <x:c r="O199" s="65" t="str">
        <x:v>B — related/discovered</x:v>
      </x:c>
      <x:c r="P199" s="65" t="str">
        <x:v>how does vibe coding work</x:v>
      </x:c>
      <x:c r="Q199" s="65" t="str">
        <x:v>related</x:v>
      </x:c>
      <x:c r="R199" s="65" t="str">
        <x:v>Returned</x:v>
      </x:c>
      <x:c r="S199" s="65" t="str">
        <x:v>Returned</x:v>
      </x:c>
    </x:row>
    <x:row r="200">
      <x:c r="A200" s="65" t="str">
        <x:v>vibe coding</x:v>
      </x:c>
      <x:c r="B200" s="65" t="str">
        <x:v>AI-assisted prototyping/building</x:v>
      </x:c>
      <x:c r="C200" s="65" t="str">
        <x:v>Vibe coding basics and mechanics</x:v>
      </x:c>
      <x:c r="D200" s="59" t="n">
        <x:v>90500</x:v>
      </x:c>
      <x:c r="E200" s="59" t="n">
        <x:v>18100</x:v>
      </x:c>
      <x:c r="F200" s="61" t="n">
        <x:v>4.32</x:v>
      </x:c>
      <x:c r="G200" s="61" t="n">
        <x:v>2.74</x:v>
      </x:c>
      <x:c r="H200" s="63"/>
      <x:c r="I200" s="63" t="n">
        <x:v>73</x:v>
      </x:c>
      <x:c r="J200" s="63" t="n">
        <x:v>2</x:v>
      </x:c>
      <x:c r="K200" s="65" t="str">
        <x:v>Analyst review of wording, validated scope and supplied SERP context</x:v>
      </x:c>
      <x:c r="L200" s="65" t="str">
        <x:v>Broad category term</x:v>
      </x:c>
      <x:c r="M200" s="65" t="str">
        <x:v>Include</x:v>
      </x:c>
      <x:c r="N200" s="65" t="str">
        <x:v>Relevant broad category; retained but kept separate from exact learning demand.</x:v>
      </x:c>
      <x:c r="O200" s="65" t="str">
        <x:v>B — related/discovered</x:v>
      </x:c>
      <x:c r="P200" s="65" t="str">
        <x:v>vibe coding for beginners; how does vibe coding work</x:v>
      </x:c>
      <x:c r="Q200" s="65" t="str">
        <x:v>related</x:v>
      </x:c>
      <x:c r="R200" s="65" t="str">
        <x:v>Returned</x:v>
      </x:c>
      <x:c r="S200" s="65" t="str">
        <x:v>Returned</x:v>
      </x:c>
    </x:row>
    <x:row r="201">
      <x:c r="A201" s="65" t="str">
        <x:v>vibe coding definition</x:v>
      </x:c>
      <x:c r="B201" s="65" t="str">
        <x:v>AI-assisted prototyping/building</x:v>
      </x:c>
      <x:c r="C201" s="65" t="str">
        <x:v>Vibe coding basics and mechanics</x:v>
      </x:c>
      <x:c r="D201" s="59" t="n">
        <x:v>2900</x:v>
      </x:c>
      <x:c r="E201" s="59" t="n">
        <x:v>110</x:v>
      </x:c>
      <x:c r="F201" s="61" t="n">
        <x:v>1.07</x:v>
      </x:c>
      <x:c r="G201" s="61" t="n">
        <x:v>0.45</x:v>
      </x:c>
      <x:c r="H201" s="63"/>
      <x:c r="I201" s="63" t="n">
        <x:v>0</x:v>
      </x:c>
      <x:c r="J201" s="63" t="n">
        <x:v>3</x:v>
      </x:c>
      <x:c r="K201" s="65" t="str">
        <x:v>Analyst review of wording, validated scope and supplied SERP context</x:v>
      </x:c>
      <x:c r="L201" s="65" t="str">
        <x:v>Exact learning query</x:v>
      </x:c>
      <x:c r="M201" s="65" t="str">
        <x:v>Include</x:v>
      </x:c>
      <x:c r="N201" s="65" t="str">
        <x:v>Relevant learning query mapped to a validated PM need.</x:v>
      </x:c>
      <x:c r="O201" s="65" t="str">
        <x:v>B — related/discovered</x:v>
      </x:c>
      <x:c r="P201" s="65" t="str">
        <x:v>how does vibe coding work</x:v>
      </x:c>
      <x:c r="Q201" s="65" t="str">
        <x:v>related</x:v>
      </x:c>
      <x:c r="R201" s="65" t="str">
        <x:v>Returned</x:v>
      </x:c>
      <x:c r="S201" s="65" t="str">
        <x:v>Returned</x:v>
      </x:c>
    </x:row>
    <x:row r="202">
      <x:c r="A202" s="65" t="str">
        <x:v>vibe coding for beginners</x:v>
      </x:c>
      <x:c r="B202" s="65" t="str">
        <x:v>AI-assisted prototyping/building</x:v>
      </x:c>
      <x:c r="C202" s="65" t="str">
        <x:v>Vibe coding basics and mechanics</x:v>
      </x:c>
      <x:c r="D202" s="59" t="n">
        <x:v>90</x:v>
      </x:c>
      <x:c r="E202" s="59" t="n">
        <x:v>20</x:v>
      </x:c>
      <x:c r="F202" s="61" t="n">
        <x:v>3.9</x:v>
      </x:c>
      <x:c r="G202" s="61" t="n">
        <x:v>1.83</x:v>
      </x:c>
      <x:c r="H202" s="63" t="n">
        <x:v>33</x:v>
      </x:c>
      <x:c r="I202" s="63" t="n">
        <x:v>0</x:v>
      </x:c>
      <x:c r="J202" s="63" t="n">
        <x:v>3</x:v>
      </x:c>
      <x:c r="K202" s="65" t="str">
        <x:v>Carried forward from search-language research (Google + YouTube autocomplete)</x:v>
      </x:c>
      <x:c r="L202" s="65" t="str">
        <x:v>Exact learning query</x:v>
      </x:c>
      <x:c r="M202" s="65" t="str">
        <x:v>Include</x:v>
      </x:c>
      <x:c r="N202" s="65" t="str">
        <x:v>Relevant observed learning phrase mapped to a validated PM need.</x:v>
      </x:c>
      <x:c r="O202" s="65" t="str">
        <x:v>A — observed seed</x:v>
      </x:c>
      <x:c r="P202" s="65" t="str">
        <x:v>vibe coding for beginners</x:v>
      </x:c>
      <x:c r="Q202" s="65" t="str">
        <x:v>Observed search-language seed</x:v>
      </x:c>
      <x:c r="R202" s="65" t="str">
        <x:v>Returned</x:v>
      </x:c>
      <x:c r="S202" s="65" t="str">
        <x:v>Returned</x:v>
      </x:c>
    </x:row>
    <x:row r="203">
      <x:c r="A203" s="65" t="str">
        <x:v>vibe coding meaning</x:v>
      </x:c>
      <x:c r="B203" s="65" t="str">
        <x:v>AI-assisted prototyping/building</x:v>
      </x:c>
      <x:c r="C203" s="65" t="str">
        <x:v>Vibe coding basics and mechanics</x:v>
      </x:c>
      <x:c r="D203" s="59" t="n">
        <x:v>12100</x:v>
      </x:c>
      <x:c r="E203" s="59" t="n">
        <x:v>1900</x:v>
      </x:c>
      <x:c r="F203" s="61" t="n">
        <x:v>0.89</x:v>
      </x:c>
      <x:c r="G203" s="61" t="n">
        <x:v>0.94</x:v>
      </x:c>
      <x:c r="H203" s="63"/>
      <x:c r="I203" s="63" t="n">
        <x:v>64</x:v>
      </x:c>
      <x:c r="J203" s="63" t="n">
        <x:v>3</x:v>
      </x:c>
      <x:c r="K203" s="65" t="str">
        <x:v>Analyst review of wording, validated scope and supplied SERP context</x:v>
      </x:c>
      <x:c r="L203" s="65" t="str">
        <x:v>Exact learning query</x:v>
      </x:c>
      <x:c r="M203" s="65" t="str">
        <x:v>Include</x:v>
      </x:c>
      <x:c r="N203" s="65" t="str">
        <x:v>Relevant learning query mapped to a validated PM need.</x:v>
      </x:c>
      <x:c r="O203" s="65" t="str">
        <x:v>B — related/discovered</x:v>
      </x:c>
      <x:c r="P203" s="65" t="str">
        <x:v>how does vibe coding work</x:v>
      </x:c>
      <x:c r="Q203" s="65" t="str">
        <x:v>related</x:v>
      </x:c>
      <x:c r="R203" s="65" t="str">
        <x:v>Returned</x:v>
      </x:c>
      <x:c r="S203" s="65" t="str">
        <x:v>Returned</x:v>
      </x:c>
    </x:row>
    <x:row r="204">
      <x:c r="A204" s="65" t="str">
        <x:v>vibe-coding</x:v>
      </x:c>
      <x:c r="B204" s="65" t="str">
        <x:v>AI-assisted prototyping/building</x:v>
      </x:c>
      <x:c r="C204" s="65" t="str">
        <x:v>Vibe coding basics and mechanics</x:v>
      </x:c>
      <x:c r="D204" s="59" t="n">
        <x:v>2900</x:v>
      </x:c>
      <x:c r="E204" s="59" t="n">
        <x:v>140</x:v>
      </x:c>
      <x:c r="F204" s="61" t="n">
        <x:v>4.32</x:v>
      </x:c>
      <x:c r="G204" s="61" t="n">
        <x:v>2.74</x:v>
      </x:c>
      <x:c r="H204" s="63"/>
      <x:c r="I204" s="63" t="n">
        <x:v>82</x:v>
      </x:c>
      <x:c r="J204" s="63" t="n">
        <x:v>2</x:v>
      </x:c>
      <x:c r="K204" s="65" t="str">
        <x:v>Analyst review of wording, validated scope and supplied SERP context</x:v>
      </x:c>
      <x:c r="L204" s="65" t="str">
        <x:v>Broad category term</x:v>
      </x:c>
      <x:c r="M204" s="65" t="str">
        <x:v>Include</x:v>
      </x:c>
      <x:c r="N204" s="65" t="str">
        <x:v>Relevant broad category; retained but kept separate from exact learning demand.</x:v>
      </x:c>
      <x:c r="O204" s="65" t="str">
        <x:v>B — related/discovered</x:v>
      </x:c>
      <x:c r="P204" s="65" t="str">
        <x:v>vibe coding for beginners; how does vibe coding work</x:v>
      </x:c>
      <x:c r="Q204" s="65" t="str">
        <x:v>related</x:v>
      </x:c>
      <x:c r="R204" s="65" t="str">
        <x:v>Returned</x:v>
      </x:c>
      <x:c r="S204" s="65" t="str">
        <x:v>Returned</x:v>
      </x:c>
    </x:row>
    <x:row r="205">
      <x:c r="A205" s="65" t="str">
        <x:v>vibecode</x:v>
      </x:c>
      <x:c r="B205" s="65" t="str">
        <x:v>AI-assisted prototyping/building</x:v>
      </x:c>
      <x:c r="C205" s="65" t="str">
        <x:v>Vibe coding basics and mechanics</x:v>
      </x:c>
      <x:c r="D205" s="59" t="n">
        <x:v>18100</x:v>
      </x:c>
      <x:c r="E205" s="59" t="n">
        <x:v>1300</x:v>
      </x:c>
      <x:c r="F205" s="61" t="n">
        <x:v>4.32</x:v>
      </x:c>
      <x:c r="G205" s="61" t="n">
        <x:v>2.74</x:v>
      </x:c>
      <x:c r="H205" s="63"/>
      <x:c r="I205" s="63" t="n">
        <x:v>57</x:v>
      </x:c>
      <x:c r="J205" s="63" t="n">
        <x:v>2</x:v>
      </x:c>
      <x:c r="K205" s="65" t="str">
        <x:v>Analyst review of wording, validated scope and supplied SERP context</x:v>
      </x:c>
      <x:c r="L205" s="65" t="str">
        <x:v>Broad category term</x:v>
      </x:c>
      <x:c r="M205" s="65" t="str">
        <x:v>Include</x:v>
      </x:c>
      <x:c r="N205" s="65" t="str">
        <x:v>Relevant broad category; retained but kept separate from exact learning demand.</x:v>
      </x:c>
      <x:c r="O205" s="65" t="str">
        <x:v>B — related/discovered</x:v>
      </x:c>
      <x:c r="P205" s="65" t="str">
        <x:v>vibe coding for beginners; how does vibe coding work</x:v>
      </x:c>
      <x:c r="Q205" s="65" t="str">
        <x:v>related</x:v>
      </x:c>
      <x:c r="R205" s="65" t="str">
        <x:v>Returned</x:v>
      </x:c>
      <x:c r="S205" s="65" t="str">
        <x:v>Returned</x:v>
      </x:c>
    </x:row>
    <x:row r="206">
      <x:c r="A206" s="65" t="str">
        <x:v>vibecoding</x:v>
      </x:c>
      <x:c r="B206" s="65" t="str">
        <x:v>AI-assisted prototyping/building</x:v>
      </x:c>
      <x:c r="C206" s="65" t="str">
        <x:v>Vibe coding basics and mechanics</x:v>
      </x:c>
      <x:c r="D206" s="59" t="n">
        <x:v>5400</x:v>
      </x:c>
      <x:c r="E206" s="59" t="n">
        <x:v>880</x:v>
      </x:c>
      <x:c r="F206" s="61" t="n">
        <x:v>4.32</x:v>
      </x:c>
      <x:c r="G206" s="61" t="n">
        <x:v>2.74</x:v>
      </x:c>
      <x:c r="H206" s="63"/>
      <x:c r="I206" s="63" t="n">
        <x:v>72</x:v>
      </x:c>
      <x:c r="J206" s="63" t="n">
        <x:v>2</x:v>
      </x:c>
      <x:c r="K206" s="65" t="str">
        <x:v>Analyst review of wording, validated scope and supplied SERP context</x:v>
      </x:c>
      <x:c r="L206" s="65" t="str">
        <x:v>Broad category term</x:v>
      </x:c>
      <x:c r="M206" s="65" t="str">
        <x:v>Include</x:v>
      </x:c>
      <x:c r="N206" s="65" t="str">
        <x:v>Relevant broad category; retained but kept separate from exact learning demand.</x:v>
      </x:c>
      <x:c r="O206" s="65" t="str">
        <x:v>B — related/discovered</x:v>
      </x:c>
      <x:c r="P206" s="65" t="str">
        <x:v>vibe coding for beginners; how does vibe coding work</x:v>
      </x:c>
      <x:c r="Q206" s="65" t="str">
        <x:v>related</x:v>
      </x:c>
      <x:c r="R206" s="65" t="str">
        <x:v>Returned</x:v>
      </x:c>
      <x:c r="S206" s="65" t="str">
        <x:v>Returned</x:v>
      </x:c>
    </x:row>
    <x:row r="207">
      <x:c r="A207" s="65" t="str">
        <x:v>what is vibe coding</x:v>
      </x:c>
      <x:c r="B207" s="65" t="str">
        <x:v>AI-assisted prototyping/building</x:v>
      </x:c>
      <x:c r="C207" s="65" t="str">
        <x:v>Vibe coding basics and mechanics</x:v>
      </x:c>
      <x:c r="D207" s="59" t="n">
        <x:v>49500</x:v>
      </x:c>
      <x:c r="E207" s="59" t="n">
        <x:v>5400</x:v>
      </x:c>
      <x:c r="F207" s="61" t="n">
        <x:v>1.94</x:v>
      </x:c>
      <x:c r="G207" s="61" t="n">
        <x:v>1.49</x:v>
      </x:c>
      <x:c r="H207" s="63"/>
      <x:c r="I207" s="63" t="n">
        <x:v>62</x:v>
      </x:c>
      <x:c r="J207" s="63" t="n">
        <x:v>3</x:v>
      </x:c>
      <x:c r="K207" s="65" t="str">
        <x:v>Carried forward from search-language research (Google + YouTube autocomplete)</x:v>
      </x:c>
      <x:c r="L207" s="65" t="str">
        <x:v>Exact learning query</x:v>
      </x:c>
      <x:c r="M207" s="65" t="str">
        <x:v>Include</x:v>
      </x:c>
      <x:c r="N207" s="65" t="str">
        <x:v>Relevant learning query mapped to a validated PM need.</x:v>
      </x:c>
      <x:c r="O207" s="65" t="str">
        <x:v>B — related/discovered</x:v>
      </x:c>
      <x:c r="P207" s="65" t="str">
        <x:v>vibe coding for beginners; how does vibe coding work</x:v>
      </x:c>
      <x:c r="Q207" s="65" t="str">
        <x:v>related</x:v>
      </x:c>
      <x:c r="R207" s="65" t="str">
        <x:v>Returned</x:v>
      </x:c>
      <x:c r="S207" s="65" t="str">
        <x:v>Returned</x:v>
      </x:c>
    </x:row>
    <x:row r="208">
      <x:c r="A208" s="65" t="str">
        <x:v>what is vibe coding and how does it work</x:v>
      </x:c>
      <x:c r="B208" s="65" t="str">
        <x:v>AI-assisted prototyping/building</x:v>
      </x:c>
      <x:c r="C208" s="65" t="str">
        <x:v>Vibe coding basics and mechanics</x:v>
      </x:c>
      <x:c r="D208" s="59" t="n">
        <x:v>20</x:v>
      </x:c>
      <x:c r="E208" s="59" t="n">
        <x:v>10</x:v>
      </x:c>
      <x:c r="F208" s="61" t="n">
        <x:v>1.9</x:v>
      </x:c>
      <x:c r="G208" s="61" t="n">
        <x:v>0</x:v>
      </x:c>
      <x:c r="H208" s="63"/>
      <x:c r="I208" s="63" t="n">
        <x:v>0</x:v>
      </x:c>
      <x:c r="J208" s="63" t="n">
        <x:v>3</x:v>
      </x:c>
      <x:c r="K208" s="65" t="str">
        <x:v>Analyst review of wording, validated scope and supplied SERP context</x:v>
      </x:c>
      <x:c r="L208" s="65" t="str">
        <x:v>Exact learning query</x:v>
      </x:c>
      <x:c r="M208" s="65" t="str">
        <x:v>Include</x:v>
      </x:c>
      <x:c r="N208" s="65" t="str">
        <x:v>Relevant learning query mapped to a validated PM need.</x:v>
      </x:c>
      <x:c r="O208" s="65" t="str">
        <x:v>B — related/discovered</x:v>
      </x:c>
      <x:c r="P208" s="65" t="str">
        <x:v>how does vibe coding work</x:v>
      </x:c>
      <x:c r="Q208" s="65" t="str">
        <x:v>question</x:v>
      </x:c>
      <x:c r="R208" s="65" t="str">
        <x:v>Returned</x:v>
      </x:c>
      <x:c r="S208" s="65" t="str">
        <x:v>Returned</x:v>
      </x:c>
    </x:row>
    <x:row r="209">
      <x:c r="A209" s="65" t="str">
        <x:v>what is vibe coding in simple words</x:v>
      </x:c>
      <x:c r="B209" s="65" t="str">
        <x:v>AI-assisted prototyping/building</x:v>
      </x:c>
      <x:c r="C209" s="65" t="str">
        <x:v>Vibe coding basics and mechanics</x:v>
      </x:c>
      <x:c r="D209" s="59" t="n">
        <x:v>30</x:v>
      </x:c>
      <x:c r="E209" s="59" t="n">
        <x:v>10</x:v>
      </x:c>
      <x:c r="F209" s="61" t="n">
        <x:v>2.28</x:v>
      </x:c>
      <x:c r="G209" s="61" t="n">
        <x:v>0</x:v>
      </x:c>
      <x:c r="H209" s="63" t="n">
        <x:v>0</x:v>
      </x:c>
      <x:c r="I209" s="63" t="n">
        <x:v>0</x:v>
      </x:c>
      <x:c r="J209" s="63" t="n">
        <x:v>3</x:v>
      </x:c>
      <x:c r="K209" s="65" t="str">
        <x:v>Carried forward from search-language research (Google autocomplete (GB))</x:v>
      </x:c>
      <x:c r="L209" s="65" t="str">
        <x:v>Exact learning query</x:v>
      </x:c>
      <x:c r="M209" s="65" t="str">
        <x:v>Include</x:v>
      </x:c>
      <x:c r="N209" s="65" t="str">
        <x:v>Relevant observed learning phrase mapped to a validated PM need.</x:v>
      </x:c>
      <x:c r="O209" s="65" t="str">
        <x:v>A — observed seed</x:v>
      </x:c>
      <x:c r="P209" s="65" t="str">
        <x:v>what is vibe coding in simple words</x:v>
      </x:c>
      <x:c r="Q209" s="65" t="str">
        <x:v>Observed search-language seed</x:v>
      </x:c>
      <x:c r="R209" s="65" t="str">
        <x:v>Returned</x:v>
      </x:c>
      <x:c r="S209" s="65" t="str">
        <x:v>Returned</x:v>
      </x:c>
    </x:row>
  </x:sheetData>
  <x:mergeCells>
    <x:mergeCell ref="A1:S1"/>
    <x:mergeCell ref="A2:S2"/>
  </x:mergeCells>
  <x:conditionalFormatting sqref="M4:M209">
    <x:cfRule type="containsText" dxfId="0" priority="1" operator="containsText" text="Exclude"/>
    <x:cfRule type="containsText" dxfId="1" priority="2" operator="containsText" text="Include"/>
  </x:conditionalFormatting>
  <x:pageMargins left="0.7" right="0.7" top="0.75" bottom="0.75" header="0.3" footer="0.3"/>
  <x:tableParts count="1">
    <x:tablePart xmlns:r="http://schemas.openxmlformats.org/officeDocument/2006/relationships" r:id="Ra28210f18819463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9" hidden="0" customWidth="1"/>
    <x:col min="3" max="3" width="11" hidden="0" customWidth="1"/>
    <x:col min="4" max="4" width="10" hidden="0" customWidth="1"/>
    <x:col min="5" max="5" width="10" hidden="0" customWidth="1"/>
    <x:col min="6" max="6" width="10" hidden="0" customWidth="1"/>
    <x:col min="7" max="7" width="12" hidden="0" customWidth="1"/>
    <x:col min="8" max="8" width="27" hidden="0" customWidth="1"/>
    <x:col min="9" max="9" width="12" hidden="0" customWidth="1"/>
    <x:col min="10" max="10" width="27" hidden="0" customWidth="1"/>
    <x:col min="11" max="11" width="12" hidden="0" customWidth="1"/>
    <x:col min="12" max="12" width="24" hidden="0" customWidth="1"/>
    <x:col min="13" max="13" width="12" hidden="0" customWidth="1"/>
    <x:col min="14" max="14" width="24" hidden="0" customWidth="1"/>
    <x:col min="15" max="15" width="12" hidden="0" customWidth="1"/>
    <x:col min="16" max="16" width="24" hidden="0" customWidth="1"/>
    <x:col min="17" max="17" width="42" hidden="0" customWidth="1"/>
  </x:cols>
  <x:sheetData>
    <x:row r="1" ht="32" customHeight="1">
      <x:c r="A1" s="3" t="str">
        <x:v>Search-intent families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0" customHeight="1">
      <x:c r="A2" s="7" t="str">
        <x:v>Largest individual variants are shown; family volumes are deliberately not summed.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3" ht="34" customHeight="1">
      <x:c r="A3" s="14" t="str">
        <x:v>Need cluster</x:v>
      </x:c>
      <x:c r="B3" s="24" t="str">
        <x:v>Search-intent family</x:v>
      </x:c>
      <x:c r="C3" s="24" t="str">
        <x:v>Included keywords</x:v>
      </x:c>
      <x:c r="D3" s="24" t="str">
        <x:v>Exact queries</x:v>
      </x:c>
      <x:c r="E3" s="24" t="str">
        <x:v>US exact &gt;0</x:v>
      </x:c>
      <x:c r="F3" s="24" t="str">
        <x:v>UK exact &gt;0</x:v>
      </x:c>
      <x:c r="G3" s="24" t="str">
        <x:v>Largest exact US</x:v>
      </x:c>
      <x:c r="H3" s="24" t="str">
        <x:v>Representative exact US</x:v>
      </x:c>
      <x:c r="I3" s="24" t="str">
        <x:v>Largest exact UK</x:v>
      </x:c>
      <x:c r="J3" s="24" t="str">
        <x:v>Representative exact UK</x:v>
      </x:c>
      <x:c r="K3" s="24" t="str">
        <x:v>Largest broad US</x:v>
      </x:c>
      <x:c r="L3" s="24" t="str">
        <x:v>Representative broad US</x:v>
      </x:c>
      <x:c r="M3" s="24" t="str">
        <x:v>Largest broad UK</x:v>
      </x:c>
      <x:c r="N3" s="24" t="str">
        <x:v>Representative broad UK</x:v>
      </x:c>
      <x:c r="O3" s="24" t="str">
        <x:v>Largest specific US</x:v>
      </x:c>
      <x:c r="P3" s="24" t="str">
        <x:v>Representative specific US</x:v>
      </x:c>
      <x:c r="Q3" s="15" t="str">
        <x:v>Overlap control</x:v>
      </x:c>
    </x:row>
    <x:row r="4">
      <x:c r="A4" s="64" t="str">
        <x:v>Software product/system mental model</x:v>
      </x:c>
      <x:c r="B4" s="64" t="str">
        <x:v>Browser-to-server request flow</x:v>
      </x:c>
      <x:c r="C4" s="58" t="n">
        <x:f>COUNTIFS('Clean Keywords'!$B$4:$B$209,$A4,'Clean Keywords'!$C$4:$C$209,$B4,'Clean Keywords'!$M$4:$M$209,"Include")</x:f>
        <x:v>1</x:v>
      </x:c>
      <x:c r="D4" s="58" t="n">
        <x:f>COUNTIFS('Clean Keywords'!$B$4:$B$209,$A4,'Clean Keywords'!$C$4:$C$209,$B4,'Clean Keywords'!$L$4:$L$209,"Exact learning query",'Clean Keywords'!$M$4:$M$209,"Include")</x:f>
        <x:v>1</x:v>
      </x:c>
      <x:c r="E4" s="58" t="n">
        <x:f>COUNTIFS('Clean Keywords'!$B$4:$B$209,$A4,'Clean Keywords'!$C$4:$C$209,$B4,'Clean Keywords'!$L$4:$L$209,"Exact learning query",'Clean Keywords'!$M$4:$M$209,"Include",'Clean Keywords'!$D$4:$D$209,"&gt;0")</x:f>
        <x:v>1</x:v>
      </x:c>
      <x:c r="F4" s="58" t="n">
        <x:f>COUNTIFS('Clean Keywords'!$B$4:$B$209,$A4,'Clean Keywords'!$C$4:$C$209,$B4,'Clean Keywords'!$L$4:$L$209,"Exact learning query",'Clean Keywords'!$M$4:$M$209,"Include",'Clean Keywords'!$E$4:$E$209,"&gt;0")</x:f>
        <x:v>1</x:v>
      </x:c>
      <x:c r="G4" s="58" t="n">
        <x:f>MAXIFS('Clean Keywords'!$D$4:$D$209,'Clean Keywords'!$B$4:$B$209,$A4,'Clean Keywords'!$C$4:$C$209,$B4,'Clean Keywords'!$L$4:$L$209,"Exact learning query",'Clean Keywords'!$M$4:$M$209,"Include")</x:f>
        <x:v>40</x:v>
      </x:c>
      <x:c r="H4" s="64" t="str">
        <x:v>what happens when you type a url in the browser</x:v>
      </x:c>
      <x:c r="I4" s="66" t="n">
        <x:f>MAXIFS('Clean Keywords'!$E$4:$E$209,'Clean Keywords'!$B$4:$B$209,$A4,'Clean Keywords'!$C$4:$C$209,$B4,'Clean Keywords'!$L$4:$L$209,"Exact learning query",'Clean Keywords'!$M$4:$M$209,"Include")</x:f>
        <x:v>20</x:v>
      </x:c>
      <x:c r="J4" s="64" t="str">
        <x:v>what happens when you type a url in the browser</x:v>
      </x:c>
      <x:c r="K4" s="66" t="n">
        <x:f>MAXIFS('Clean Keywords'!$D$4:$D$209,'Clean Keywords'!$B$4:$B$209,$A4,'Clean Keywords'!$C$4:$C$209,$B4,'Clean Keywords'!$L$4:$L$209,"Broad category term",'Clean Keywords'!$M$4:$M$209,"Include")</x:f>
        <x:v>0</x:v>
      </x:c>
      <x:c r="L4" s="64" t="str">
        <x:v>—</x:v>
      </x:c>
      <x:c r="M4" s="66" t="n">
        <x:f>MAXIFS('Clean Keywords'!$E$4:$E$209,'Clean Keywords'!$B$4:$B$209,$A4,'Clean Keywords'!$C$4:$C$209,$B4,'Clean Keywords'!$L$4:$L$209,"Broad category term",'Clean Keywords'!$M$4:$M$209,"Include")</x:f>
        <x:v>0</x:v>
      </x:c>
      <x:c r="N4" s="64" t="str">
        <x:v>—</x:v>
      </x:c>
      <x:c r="O4" s="66" t="n">
        <x:f>MAXIFS('Clean Keywords'!$D$4:$D$209,'Clean Keywords'!$B$4:$B$209,$A4,'Clean Keywords'!$C$4:$C$209,$B4,'Clean Keywords'!$L$4:$L$209,"Specific concept term",'Clean Keywords'!$M$4:$M$209,"Include")</x:f>
        <x:v>0</x:v>
      </x:c>
      <x:c r="P4" s="64" t="str">
        <x:v>—</x:v>
      </x:c>
      <x:c r="Q4" s="64" t="str">
        <x:v>Single retained term; no within-family aggregation.</x:v>
      </x:c>
    </x:row>
    <x:row r="5">
      <x:c r="A5" s="65" t="str">
        <x:v>Software product/system mental model</x:v>
      </x:c>
      <x:c r="B5" s="65" t="str">
        <x:v>Frontend/backend/database roles</x:v>
      </x:c>
      <x:c r="C5" s="59" t="n">
        <x:f>COUNTIFS('Clean Keywords'!$B$4:$B$209,$A5,'Clean Keywords'!$C$4:$C$209,$B5,'Clean Keywords'!$M$4:$M$209,"Include")</x:f>
        <x:v>11</x:v>
      </x:c>
      <x:c r="D5" s="59" t="n">
        <x:f>COUNTIFS('Clean Keywords'!$B$4:$B$209,$A5,'Clean Keywords'!$C$4:$C$209,$B5,'Clean Keywords'!$L$4:$L$209,"Exact learning query",'Clean Keywords'!$M$4:$M$209,"Include")</x:f>
        <x:v>9</x:v>
      </x:c>
      <x:c r="E5" s="59" t="n">
        <x:f>COUNTIFS('Clean Keywords'!$B$4:$B$209,$A5,'Clean Keywords'!$C$4:$C$209,$B5,'Clean Keywords'!$L$4:$L$209,"Exact learning query",'Clean Keywords'!$M$4:$M$209,"Include",'Clean Keywords'!$D$4:$D$209,"&gt;0")</x:f>
        <x:v>4</x:v>
      </x:c>
      <x:c r="F5" s="59" t="n">
        <x:f>COUNTIFS('Clean Keywords'!$B$4:$B$209,$A5,'Clean Keywords'!$C$4:$C$209,$B5,'Clean Keywords'!$L$4:$L$209,"Exact learning query",'Clean Keywords'!$M$4:$M$209,"Include",'Clean Keywords'!$E$4:$E$209,"&gt;0")</x:f>
        <x:v>1</x:v>
      </x:c>
      <x:c r="G5" s="59" t="n">
        <x:f>MAXIFS('Clean Keywords'!$D$4:$D$209,'Clean Keywords'!$B$4:$B$209,$A5,'Clean Keywords'!$C$4:$C$209,$B5,'Clean Keywords'!$L$4:$L$209,"Exact learning query",'Clean Keywords'!$M$4:$M$209,"Include")</x:f>
        <x:v>20</x:v>
      </x:c>
      <x:c r="H5" s="65" t="str">
        <x:v>is database backend or frontend</x:v>
      </x:c>
      <x:c r="I5" s="67" t="n">
        <x:f>MAXIFS('Clean Keywords'!$E$4:$E$209,'Clean Keywords'!$B$4:$B$209,$A5,'Clean Keywords'!$C$4:$C$209,$B5,'Clean Keywords'!$L$4:$L$209,"Exact learning query",'Clean Keywords'!$M$4:$M$209,"Include")</x:f>
        <x:v>10</x:v>
      </x:c>
      <x:c r="J5" s="65" t="str">
        <x:v>is database backend or frontend</x:v>
      </x:c>
      <x:c r="K5" s="67" t="n">
        <x:f>MAXIFS('Clean Keywords'!$D$4:$D$209,'Clean Keywords'!$B$4:$B$209,$A5,'Clean Keywords'!$C$4:$C$209,$B5,'Clean Keywords'!$L$4:$L$209,"Broad category term",'Clean Keywords'!$M$4:$M$209,"Include")</x:f>
        <x:v>0</x:v>
      </x:c>
      <x:c r="L5" s="65" t="str">
        <x:v>—</x:v>
      </x:c>
      <x:c r="M5" s="67" t="n">
        <x:f>MAXIFS('Clean Keywords'!$E$4:$E$209,'Clean Keywords'!$B$4:$B$209,$A5,'Clean Keywords'!$C$4:$C$209,$B5,'Clean Keywords'!$L$4:$L$209,"Broad category term",'Clean Keywords'!$M$4:$M$209,"Include")</x:f>
        <x:v>0</x:v>
      </x:c>
      <x:c r="N5" s="65" t="str">
        <x:v>—</x:v>
      </x:c>
      <x:c r="O5" s="67" t="n">
        <x:f>MAXIFS('Clean Keywords'!$D$4:$D$209,'Clean Keywords'!$B$4:$B$209,$A5,'Clean Keywords'!$C$4:$C$209,$B5,'Clean Keywords'!$L$4:$L$209,"Specific concept term",'Clean Keywords'!$M$4:$M$209,"Include")</x:f>
        <x:v>20</x:v>
      </x:c>
      <x:c r="P5" s="65" t="str">
        <x:v>frontend backend database</x:v>
      </x:c>
      <x:c r="Q5" s="65" t="str">
        <x:v>11 variants/terms share this intent; volumes are shown individually and not summed.</x:v>
      </x:c>
    </x:row>
    <x:row r="6">
      <x:c r="A6" s="65" t="str">
        <x:v>Software product/system mental model</x:v>
      </x:c>
      <x:c r="B6" s="65" t="str">
        <x:v>Tech stack</x:v>
      </x:c>
      <x:c r="C6" s="59" t="n">
        <x:f>COUNTIFS('Clean Keywords'!$B$4:$B$209,$A6,'Clean Keywords'!$C$4:$C$209,$B6,'Clean Keywords'!$M$4:$M$209,"Include")</x:f>
        <x:v>1</x:v>
      </x:c>
      <x:c r="D6" s="59" t="n">
        <x:f>COUNTIFS('Clean Keywords'!$B$4:$B$209,$A6,'Clean Keywords'!$C$4:$C$209,$B6,'Clean Keywords'!$L$4:$L$209,"Exact learning query",'Clean Keywords'!$M$4:$M$209,"Include")</x:f>
        <x:v>1</x:v>
      </x:c>
      <x:c r="E6" s="59" t="n">
        <x:f>COUNTIFS('Clean Keywords'!$B$4:$B$209,$A6,'Clean Keywords'!$C$4:$C$209,$B6,'Clean Keywords'!$L$4:$L$209,"Exact learning query",'Clean Keywords'!$M$4:$M$209,"Include",'Clean Keywords'!$D$4:$D$209,"&gt;0")</x:f>
        <x:v>1</x:v>
      </x:c>
      <x:c r="F6" s="59" t="n">
        <x:f>COUNTIFS('Clean Keywords'!$B$4:$B$209,$A6,'Clean Keywords'!$C$4:$C$209,$B6,'Clean Keywords'!$L$4:$L$209,"Exact learning query",'Clean Keywords'!$M$4:$M$209,"Include",'Clean Keywords'!$E$4:$E$209,"&gt;0")</x:f>
        <x:v>1</x:v>
      </x:c>
      <x:c r="G6" s="59" t="n">
        <x:f>MAXIFS('Clean Keywords'!$D$4:$D$209,'Clean Keywords'!$B$4:$B$209,$A6,'Clean Keywords'!$C$4:$C$209,$B6,'Clean Keywords'!$L$4:$L$209,"Exact learning query",'Clean Keywords'!$M$4:$M$209,"Include")</x:f>
        <x:v>10</x:v>
      </x:c>
      <x:c r="H6" s="65" t="str">
        <x:v>tech stack explained</x:v>
      </x:c>
      <x:c r="I6" s="67" t="n">
        <x:f>MAXIFS('Clean Keywords'!$E$4:$E$209,'Clean Keywords'!$B$4:$B$209,$A6,'Clean Keywords'!$C$4:$C$209,$B6,'Clean Keywords'!$L$4:$L$209,"Exact learning query",'Clean Keywords'!$M$4:$M$209,"Include")</x:f>
        <x:v>10</x:v>
      </x:c>
      <x:c r="J6" s="65" t="str">
        <x:v>tech stack explained</x:v>
      </x:c>
      <x:c r="K6" s="67" t="n">
        <x:f>MAXIFS('Clean Keywords'!$D$4:$D$209,'Clean Keywords'!$B$4:$B$209,$A6,'Clean Keywords'!$C$4:$C$209,$B6,'Clean Keywords'!$L$4:$L$209,"Broad category term",'Clean Keywords'!$M$4:$M$209,"Include")</x:f>
        <x:v>0</x:v>
      </x:c>
      <x:c r="L6" s="65" t="str">
        <x:v>—</x:v>
      </x:c>
      <x:c r="M6" s="67" t="n">
        <x:f>MAXIFS('Clean Keywords'!$E$4:$E$209,'Clean Keywords'!$B$4:$B$209,$A6,'Clean Keywords'!$C$4:$C$209,$B6,'Clean Keywords'!$L$4:$L$209,"Broad category term",'Clean Keywords'!$M$4:$M$209,"Include")</x:f>
        <x:v>0</x:v>
      </x:c>
      <x:c r="N6" s="65" t="str">
        <x:v>—</x:v>
      </x:c>
      <x:c r="O6" s="67" t="n">
        <x:f>MAXIFS('Clean Keywords'!$D$4:$D$209,'Clean Keywords'!$B$4:$B$209,$A6,'Clean Keywords'!$C$4:$C$209,$B6,'Clean Keywords'!$L$4:$L$209,"Specific concept term",'Clean Keywords'!$M$4:$M$209,"Include")</x:f>
        <x:v>0</x:v>
      </x:c>
      <x:c r="P6" s="65" t="str">
        <x:v>—</x:v>
      </x:c>
      <x:c r="Q6" s="65" t="str">
        <x:v>Single retained term; no within-family aggregation.</x:v>
      </x:c>
    </x:row>
    <x:row r="7">
      <x:c r="A7" s="65" t="str">
        <x:v>Software product/system mental model</x:v>
      </x:c>
      <x:c r="B7" s="65" t="str">
        <x:v>Web product architecture and request flow</x:v>
      </x:c>
      <x:c r="C7" s="59" t="n">
        <x:f>COUNTIFS('Clean Keywords'!$B$4:$B$209,$A7,'Clean Keywords'!$C$4:$C$209,$B7,'Clean Keywords'!$M$4:$M$209,"Include")</x:f>
        <x:v>5</x:v>
      </x:c>
      <x:c r="D7" s="59" t="n">
        <x:f>COUNTIFS('Clean Keywords'!$B$4:$B$209,$A7,'Clean Keywords'!$C$4:$C$209,$B7,'Clean Keywords'!$L$4:$L$209,"Exact learning query",'Clean Keywords'!$M$4:$M$209,"Include")</x:f>
        <x:v>5</x:v>
      </x:c>
      <x:c r="E7" s="59" t="n">
        <x:f>COUNTIFS('Clean Keywords'!$B$4:$B$209,$A7,'Clean Keywords'!$C$4:$C$209,$B7,'Clean Keywords'!$L$4:$L$209,"Exact learning query",'Clean Keywords'!$M$4:$M$209,"Include",'Clean Keywords'!$D$4:$D$209,"&gt;0")</x:f>
        <x:v>0</x:v>
      </x:c>
      <x:c r="F7" s="59" t="n">
        <x:f>COUNTIFS('Clean Keywords'!$B$4:$B$209,$A7,'Clean Keywords'!$C$4:$C$209,$B7,'Clean Keywords'!$L$4:$L$209,"Exact learning query",'Clean Keywords'!$M$4:$M$209,"Include",'Clean Keywords'!$E$4:$E$209,"&gt;0")</x:f>
        <x:v>0</x:v>
      </x:c>
      <x:c r="G7" s="59" t="n">
        <x:f>MAXIFS('Clean Keywords'!$D$4:$D$209,'Clean Keywords'!$B$4:$B$209,$A7,'Clean Keywords'!$C$4:$C$209,$B7,'Clean Keywords'!$L$4:$L$209,"Exact learning query",'Clean Keywords'!$M$4:$M$209,"Include")</x:f>
        <x:v>0</x:v>
      </x:c>
      <x:c r="H7" s="65" t="str">
        <x:v>application architecture explained</x:v>
      </x:c>
      <x:c r="I7" s="67" t="n">
        <x:f>MAXIFS('Clean Keywords'!$E$4:$E$209,'Clean Keywords'!$B$4:$B$209,$A7,'Clean Keywords'!$C$4:$C$209,$B7,'Clean Keywords'!$L$4:$L$209,"Exact learning query",'Clean Keywords'!$M$4:$M$209,"Include")</x:f>
        <x:v>0</x:v>
      </x:c>
      <x:c r="J7" s="65" t="str">
        <x:v>how to explain application architecture</x:v>
      </x:c>
      <x:c r="K7" s="67" t="n">
        <x:f>MAXIFS('Clean Keywords'!$D$4:$D$209,'Clean Keywords'!$B$4:$B$209,$A7,'Clean Keywords'!$C$4:$C$209,$B7,'Clean Keywords'!$L$4:$L$209,"Broad category term",'Clean Keywords'!$M$4:$M$209,"Include")</x:f>
        <x:v>0</x:v>
      </x:c>
      <x:c r="L7" s="65" t="str">
        <x:v>—</x:v>
      </x:c>
      <x:c r="M7" s="67" t="n">
        <x:f>MAXIFS('Clean Keywords'!$E$4:$E$209,'Clean Keywords'!$B$4:$B$209,$A7,'Clean Keywords'!$C$4:$C$209,$B7,'Clean Keywords'!$L$4:$L$209,"Broad category term",'Clean Keywords'!$M$4:$M$209,"Include")</x:f>
        <x:v>0</x:v>
      </x:c>
      <x:c r="N7" s="65" t="str">
        <x:v>—</x:v>
      </x:c>
      <x:c r="O7" s="67" t="n">
        <x:f>MAXIFS('Clean Keywords'!$D$4:$D$209,'Clean Keywords'!$B$4:$B$209,$A7,'Clean Keywords'!$C$4:$C$209,$B7,'Clean Keywords'!$L$4:$L$209,"Specific concept term",'Clean Keywords'!$M$4:$M$209,"Include")</x:f>
        <x:v>0</x:v>
      </x:c>
      <x:c r="P7" s="65" t="str">
        <x:v>—</x:v>
      </x:c>
      <x:c r="Q7" s="65" t="str">
        <x:v>5 variants/terms share this intent; volumes are shown individually and not summed.</x:v>
      </x:c>
    </x:row>
    <x:row r="8">
      <x:c r="A8" s="65" t="str">
        <x:v>APIs, integrations and data flow</x:v>
      </x:c>
      <x:c r="B8" s="65" t="str">
        <x:v>API and database data flow</x:v>
      </x:c>
      <x:c r="C8" s="59" t="n">
        <x:f>COUNTIFS('Clean Keywords'!$B$4:$B$209,$A8,'Clean Keywords'!$C$4:$C$209,$B8,'Clean Keywords'!$M$4:$M$209,"Include")</x:f>
        <x:v>1</x:v>
      </x:c>
      <x:c r="D8" s="59" t="n">
        <x:f>COUNTIFS('Clean Keywords'!$B$4:$B$209,$A8,'Clean Keywords'!$C$4:$C$209,$B8,'Clean Keywords'!$L$4:$L$209,"Exact learning query",'Clean Keywords'!$M$4:$M$209,"Include")</x:f>
        <x:v>1</x:v>
      </x:c>
      <x:c r="E8" s="59" t="n">
        <x:f>COUNTIFS('Clean Keywords'!$B$4:$B$209,$A8,'Clean Keywords'!$C$4:$C$209,$B8,'Clean Keywords'!$L$4:$L$209,"Exact learning query",'Clean Keywords'!$M$4:$M$209,"Include",'Clean Keywords'!$D$4:$D$209,"&gt;0")</x:f>
        <x:v>1</x:v>
      </x:c>
      <x:c r="F8" s="59" t="n">
        <x:f>COUNTIFS('Clean Keywords'!$B$4:$B$209,$A8,'Clean Keywords'!$C$4:$C$209,$B8,'Clean Keywords'!$L$4:$L$209,"Exact learning query",'Clean Keywords'!$M$4:$M$209,"Include",'Clean Keywords'!$E$4:$E$209,"&gt;0")</x:f>
        <x:v>1</x:v>
      </x:c>
      <x:c r="G8" s="59" t="n">
        <x:f>MAXIFS('Clean Keywords'!$D$4:$D$209,'Clean Keywords'!$B$4:$B$209,$A8,'Clean Keywords'!$C$4:$C$209,$B8,'Clean Keywords'!$L$4:$L$209,"Exact learning query",'Clean Keywords'!$M$4:$M$209,"Include")</x:f>
        <x:v>20</x:v>
      </x:c>
      <x:c r="H8" s="65" t="str">
        <x:v>how does an api work with a database</x:v>
      </x:c>
      <x:c r="I8" s="67" t="n">
        <x:f>MAXIFS('Clean Keywords'!$E$4:$E$209,'Clean Keywords'!$B$4:$B$209,$A8,'Clean Keywords'!$C$4:$C$209,$B8,'Clean Keywords'!$L$4:$L$209,"Exact learning query",'Clean Keywords'!$M$4:$M$209,"Include")</x:f>
        <x:v>20</x:v>
      </x:c>
      <x:c r="J8" s="65" t="str">
        <x:v>how does an api work with a database</x:v>
      </x:c>
      <x:c r="K8" s="67" t="n">
        <x:f>MAXIFS('Clean Keywords'!$D$4:$D$209,'Clean Keywords'!$B$4:$B$209,$A8,'Clean Keywords'!$C$4:$C$209,$B8,'Clean Keywords'!$L$4:$L$209,"Broad category term",'Clean Keywords'!$M$4:$M$209,"Include")</x:f>
        <x:v>0</x:v>
      </x:c>
      <x:c r="L8" s="65" t="str">
        <x:v>—</x:v>
      </x:c>
      <x:c r="M8" s="67" t="n">
        <x:f>MAXIFS('Clean Keywords'!$E$4:$E$209,'Clean Keywords'!$B$4:$B$209,$A8,'Clean Keywords'!$C$4:$C$209,$B8,'Clean Keywords'!$L$4:$L$209,"Broad category term",'Clean Keywords'!$M$4:$M$209,"Include")</x:f>
        <x:v>0</x:v>
      </x:c>
      <x:c r="N8" s="65" t="str">
        <x:v>—</x:v>
      </x:c>
      <x:c r="O8" s="67" t="n">
        <x:f>MAXIFS('Clean Keywords'!$D$4:$D$209,'Clean Keywords'!$B$4:$B$209,$A8,'Clean Keywords'!$C$4:$C$209,$B8,'Clean Keywords'!$L$4:$L$209,"Specific concept term",'Clean Keywords'!$M$4:$M$209,"Include")</x:f>
        <x:v>0</x:v>
      </x:c>
      <x:c r="P8" s="65" t="str">
        <x:v>—</x:v>
      </x:c>
      <x:c r="Q8" s="65" t="str">
        <x:v>Single retained term; no within-family aggregation.</x:v>
      </x:c>
    </x:row>
    <x:row r="9">
      <x:c r="A9" s="65" t="str">
        <x:v>APIs, integrations and data flow</x:v>
      </x:c>
      <x:c r="B9" s="65" t="str">
        <x:v>API basics and mechanics</x:v>
      </x:c>
      <x:c r="C9" s="59" t="n">
        <x:f>COUNTIFS('Clean Keywords'!$B$4:$B$209,$A9,'Clean Keywords'!$C$4:$C$209,$B9,'Clean Keywords'!$M$4:$M$209,"Include")</x:f>
        <x:v>18</x:v>
      </x:c>
      <x:c r="D9" s="59" t="n">
        <x:f>COUNTIFS('Clean Keywords'!$B$4:$B$209,$A9,'Clean Keywords'!$C$4:$C$209,$B9,'Clean Keywords'!$L$4:$L$209,"Exact learning query",'Clean Keywords'!$M$4:$M$209,"Include")</x:f>
        <x:v>16</x:v>
      </x:c>
      <x:c r="E9" s="59" t="n">
        <x:f>COUNTIFS('Clean Keywords'!$B$4:$B$209,$A9,'Clean Keywords'!$C$4:$C$209,$B9,'Clean Keywords'!$L$4:$L$209,"Exact learning query",'Clean Keywords'!$M$4:$M$209,"Include",'Clean Keywords'!$D$4:$D$209,"&gt;0")</x:f>
        <x:v>13</x:v>
      </x:c>
      <x:c r="F9" s="59" t="n">
        <x:f>COUNTIFS('Clean Keywords'!$B$4:$B$209,$A9,'Clean Keywords'!$C$4:$C$209,$B9,'Clean Keywords'!$L$4:$L$209,"Exact learning query",'Clean Keywords'!$M$4:$M$209,"Include",'Clean Keywords'!$E$4:$E$209,"&gt;0")</x:f>
        <x:v>12</x:v>
      </x:c>
      <x:c r="G9" s="59" t="n">
        <x:f>MAXIFS('Clean Keywords'!$D$4:$D$209,'Clean Keywords'!$B$4:$B$209,$A9,'Clean Keywords'!$C$4:$C$209,$B9,'Clean Keywords'!$L$4:$L$209,"Exact learning query",'Clean Keywords'!$M$4:$M$209,"Include")</x:f>
        <x:v>673000</x:v>
      </x:c>
      <x:c r="H9" s="65" t="str">
        <x:v>what is an api</x:v>
      </x:c>
      <x:c r="I9" s="67" t="n">
        <x:f>MAXIFS('Clean Keywords'!$E$4:$E$209,'Clean Keywords'!$B$4:$B$209,$A9,'Clean Keywords'!$C$4:$C$209,$B9,'Clean Keywords'!$L$4:$L$209,"Exact learning query",'Clean Keywords'!$M$4:$M$209,"Include")</x:f>
        <x:v>40500</x:v>
      </x:c>
      <x:c r="J9" s="65" t="str">
        <x:v>what is an api</x:v>
      </x:c>
      <x:c r="K9" s="67" t="n">
        <x:f>MAXIFS('Clean Keywords'!$D$4:$D$209,'Clean Keywords'!$B$4:$B$209,$A9,'Clean Keywords'!$C$4:$C$209,$B9,'Clean Keywords'!$L$4:$L$209,"Broad category term",'Clean Keywords'!$M$4:$M$209,"Include")</x:f>
        <x:v>135000</x:v>
      </x:c>
      <x:c r="L9" s="65" t="str">
        <x:v>api</x:v>
      </x:c>
      <x:c r="M9" s="67" t="n">
        <x:f>MAXIFS('Clean Keywords'!$E$4:$E$209,'Clean Keywords'!$B$4:$B$209,$A9,'Clean Keywords'!$C$4:$C$209,$B9,'Clean Keywords'!$L$4:$L$209,"Broad category term",'Clean Keywords'!$M$4:$M$209,"Include")</x:f>
        <x:v>27100</x:v>
      </x:c>
      <x:c r="N9" s="65" t="str">
        <x:v>api</x:v>
      </x:c>
      <x:c r="O9" s="67" t="n">
        <x:f>MAXIFS('Clean Keywords'!$D$4:$D$209,'Clean Keywords'!$B$4:$B$209,$A9,'Clean Keywords'!$C$4:$C$209,$B9,'Clean Keywords'!$L$4:$L$209,"Specific concept term",'Clean Keywords'!$M$4:$M$209,"Include")</x:f>
        <x:v>0</x:v>
      </x:c>
      <x:c r="P9" s="65" t="str">
        <x:v>—</x:v>
      </x:c>
      <x:c r="Q9" s="65" t="str">
        <x:v>18 variants/terms share this intent; volumes are shown individually and not summed.</x:v>
      </x:c>
    </x:row>
    <x:row r="10">
      <x:c r="A10" s="65" t="str">
        <x:v>APIs, integrations and data flow</x:v>
      </x:c>
      <x:c r="B10" s="65" t="str">
        <x:v>API integration</x:v>
      </x:c>
      <x:c r="C10" s="59" t="n">
        <x:f>COUNTIFS('Clean Keywords'!$B$4:$B$209,$A10,'Clean Keywords'!$C$4:$C$209,$B10,'Clean Keywords'!$M$4:$M$209,"Include")</x:f>
        <x:v>9</x:v>
      </x:c>
      <x:c r="D10" s="59" t="n">
        <x:f>COUNTIFS('Clean Keywords'!$B$4:$B$209,$A10,'Clean Keywords'!$C$4:$C$209,$B10,'Clean Keywords'!$L$4:$L$209,"Exact learning query",'Clean Keywords'!$M$4:$M$209,"Include")</x:f>
        <x:v>5</x:v>
      </x:c>
      <x:c r="E10" s="59" t="n">
        <x:f>COUNTIFS('Clean Keywords'!$B$4:$B$209,$A10,'Clean Keywords'!$C$4:$C$209,$B10,'Clean Keywords'!$L$4:$L$209,"Exact learning query",'Clean Keywords'!$M$4:$M$209,"Include",'Clean Keywords'!$D$4:$D$209,"&gt;0")</x:f>
        <x:v>4</x:v>
      </x:c>
      <x:c r="F10" s="59" t="n">
        <x:f>COUNTIFS('Clean Keywords'!$B$4:$B$209,$A10,'Clean Keywords'!$C$4:$C$209,$B10,'Clean Keywords'!$L$4:$L$209,"Exact learning query",'Clean Keywords'!$M$4:$M$209,"Include",'Clean Keywords'!$E$4:$E$209,"&gt;0")</x:f>
        <x:v>4</x:v>
      </x:c>
      <x:c r="G10" s="59" t="n">
        <x:f>MAXIFS('Clean Keywords'!$D$4:$D$209,'Clean Keywords'!$B$4:$B$209,$A10,'Clean Keywords'!$C$4:$C$209,$B10,'Clean Keywords'!$L$4:$L$209,"Exact learning query",'Clean Keywords'!$M$4:$M$209,"Include")</x:f>
        <x:v>1300</x:v>
      </x:c>
      <x:c r="H10" s="65" t="str">
        <x:v>what is api integration</x:v>
      </x:c>
      <x:c r="I10" s="67" t="n">
        <x:f>MAXIFS('Clean Keywords'!$E$4:$E$209,'Clean Keywords'!$B$4:$B$209,$A10,'Clean Keywords'!$C$4:$C$209,$B10,'Clean Keywords'!$L$4:$L$209,"Exact learning query",'Clean Keywords'!$M$4:$M$209,"Include")</x:f>
        <x:v>260</x:v>
      </x:c>
      <x:c r="J10" s="65" t="str">
        <x:v>what is api integration</x:v>
      </x:c>
      <x:c r="K10" s="67" t="n">
        <x:f>MAXIFS('Clean Keywords'!$D$4:$D$209,'Clean Keywords'!$B$4:$B$209,$A10,'Clean Keywords'!$C$4:$C$209,$B10,'Clean Keywords'!$L$4:$L$209,"Broad category term",'Clean Keywords'!$M$4:$M$209,"Include")</x:f>
        <x:v>0</x:v>
      </x:c>
      <x:c r="L10" s="65" t="str">
        <x:v>—</x:v>
      </x:c>
      <x:c r="M10" s="67" t="n">
        <x:f>MAXIFS('Clean Keywords'!$E$4:$E$209,'Clean Keywords'!$B$4:$B$209,$A10,'Clean Keywords'!$C$4:$C$209,$B10,'Clean Keywords'!$L$4:$L$209,"Broad category term",'Clean Keywords'!$M$4:$M$209,"Include")</x:f>
        <x:v>0</x:v>
      </x:c>
      <x:c r="N10" s="65" t="str">
        <x:v>—</x:v>
      </x:c>
      <x:c r="O10" s="67" t="n">
        <x:f>MAXIFS('Clean Keywords'!$D$4:$D$209,'Clean Keywords'!$B$4:$B$209,$A10,'Clean Keywords'!$C$4:$C$209,$B10,'Clean Keywords'!$L$4:$L$209,"Specific concept term",'Clean Keywords'!$M$4:$M$209,"Include")</x:f>
        <x:v>5400</x:v>
      </x:c>
      <x:c r="P10" s="65" t="str">
        <x:v>api integration</x:v>
      </x:c>
      <x:c r="Q10" s="65" t="str">
        <x:v>9 variants/terms share this intent; volumes are shown individually and not summed.</x:v>
      </x:c>
    </x:row>
    <x:row r="11">
      <x:c r="A11" s="65" t="str">
        <x:v>APIs, integrations and data flow</x:v>
      </x:c>
      <x:c r="B11" s="65" t="str">
        <x:v>API keys and authentication</x:v>
      </x:c>
      <x:c r="C11" s="59" t="n">
        <x:f>COUNTIFS('Clean Keywords'!$B$4:$B$209,$A11,'Clean Keywords'!$C$4:$C$209,$B11,'Clean Keywords'!$M$4:$M$209,"Include")</x:f>
        <x:v>2</x:v>
      </x:c>
      <x:c r="D11" s="59" t="n">
        <x:f>COUNTIFS('Clean Keywords'!$B$4:$B$209,$A11,'Clean Keywords'!$C$4:$C$209,$B11,'Clean Keywords'!$L$4:$L$209,"Exact learning query",'Clean Keywords'!$M$4:$M$209,"Include")</x:f>
        <x:v>2</x:v>
      </x:c>
      <x:c r="E11" s="59" t="n">
        <x:f>COUNTIFS('Clean Keywords'!$B$4:$B$209,$A11,'Clean Keywords'!$C$4:$C$209,$B11,'Clean Keywords'!$L$4:$L$209,"Exact learning query",'Clean Keywords'!$M$4:$M$209,"Include",'Clean Keywords'!$D$4:$D$209,"&gt;0")</x:f>
        <x:v>2</x:v>
      </x:c>
      <x:c r="F11" s="59" t="n">
        <x:f>COUNTIFS('Clean Keywords'!$B$4:$B$209,$A11,'Clean Keywords'!$C$4:$C$209,$B11,'Clean Keywords'!$L$4:$L$209,"Exact learning query",'Clean Keywords'!$M$4:$M$209,"Include",'Clean Keywords'!$E$4:$E$209,"&gt;0")</x:f>
        <x:v>2</x:v>
      </x:c>
      <x:c r="G11" s="59" t="n">
        <x:f>MAXIFS('Clean Keywords'!$D$4:$D$209,'Clean Keywords'!$B$4:$B$209,$A11,'Clean Keywords'!$C$4:$C$209,$B11,'Clean Keywords'!$L$4:$L$209,"Exact learning query",'Clean Keywords'!$M$4:$M$209,"Include")</x:f>
        <x:v>20</x:v>
      </x:c>
      <x:c r="H11" s="65" t="str">
        <x:v>how does an api key work</x:v>
      </x:c>
      <x:c r="I11" s="67" t="n">
        <x:f>MAXIFS('Clean Keywords'!$E$4:$E$209,'Clean Keywords'!$B$4:$B$209,$A11,'Clean Keywords'!$C$4:$C$209,$B11,'Clean Keywords'!$L$4:$L$209,"Exact learning query",'Clean Keywords'!$M$4:$M$209,"Include")</x:f>
        <x:v>20</x:v>
      </x:c>
      <x:c r="J11" s="65" t="str">
        <x:v>how does an api key work</x:v>
      </x:c>
      <x:c r="K11" s="67" t="n">
        <x:f>MAXIFS('Clean Keywords'!$D$4:$D$209,'Clean Keywords'!$B$4:$B$209,$A11,'Clean Keywords'!$C$4:$C$209,$B11,'Clean Keywords'!$L$4:$L$209,"Broad category term",'Clean Keywords'!$M$4:$M$209,"Include")</x:f>
        <x:v>0</x:v>
      </x:c>
      <x:c r="L11" s="65" t="str">
        <x:v>—</x:v>
      </x:c>
      <x:c r="M11" s="67" t="n">
        <x:f>MAXIFS('Clean Keywords'!$E$4:$E$209,'Clean Keywords'!$B$4:$B$209,$A11,'Clean Keywords'!$C$4:$C$209,$B11,'Clean Keywords'!$L$4:$L$209,"Broad category term",'Clean Keywords'!$M$4:$M$209,"Include")</x:f>
        <x:v>0</x:v>
      </x:c>
      <x:c r="N11" s="65" t="str">
        <x:v>—</x:v>
      </x:c>
      <x:c r="O11" s="67" t="n">
        <x:f>MAXIFS('Clean Keywords'!$D$4:$D$209,'Clean Keywords'!$B$4:$B$209,$A11,'Clean Keywords'!$C$4:$C$209,$B11,'Clean Keywords'!$L$4:$L$209,"Specific concept term",'Clean Keywords'!$M$4:$M$209,"Include")</x:f>
        <x:v>0</x:v>
      </x:c>
      <x:c r="P11" s="65" t="str">
        <x:v>—</x:v>
      </x:c>
      <x:c r="Q11" s="65" t="str">
        <x:v>2 variants/terms share this intent; volumes are shown individually and not summed.</x:v>
      </x:c>
    </x:row>
    <x:row r="12">
      <x:c r="A12" s="65" t="str">
        <x:v>APIs, integrations and data flow</x:v>
      </x:c>
      <x:c r="B12" s="65" t="str">
        <x:v>API versus webhook</x:v>
      </x:c>
      <x:c r="C12" s="59" t="n">
        <x:f>COUNTIFS('Clean Keywords'!$B$4:$B$209,$A12,'Clean Keywords'!$C$4:$C$209,$B12,'Clean Keywords'!$M$4:$M$209,"Include")</x:f>
        <x:v>12</x:v>
      </x:c>
      <x:c r="D12" s="59" t="n">
        <x:f>COUNTIFS('Clean Keywords'!$B$4:$B$209,$A12,'Clean Keywords'!$C$4:$C$209,$B12,'Clean Keywords'!$L$4:$L$209,"Exact learning query",'Clean Keywords'!$M$4:$M$209,"Include")</x:f>
        <x:v>11</x:v>
      </x:c>
      <x:c r="E12" s="59" t="n">
        <x:f>COUNTIFS('Clean Keywords'!$B$4:$B$209,$A12,'Clean Keywords'!$C$4:$C$209,$B12,'Clean Keywords'!$L$4:$L$209,"Exact learning query",'Clean Keywords'!$M$4:$M$209,"Include",'Clean Keywords'!$D$4:$D$209,"&gt;0")</x:f>
        <x:v>11</x:v>
      </x:c>
      <x:c r="F12" s="59" t="n">
        <x:f>COUNTIFS('Clean Keywords'!$B$4:$B$209,$A12,'Clean Keywords'!$C$4:$C$209,$B12,'Clean Keywords'!$L$4:$L$209,"Exact learning query",'Clean Keywords'!$M$4:$M$209,"Include",'Clean Keywords'!$E$4:$E$209,"&gt;0")</x:f>
        <x:v>10</x:v>
      </x:c>
      <x:c r="G12" s="59" t="n">
        <x:f>MAXIFS('Clean Keywords'!$D$4:$D$209,'Clean Keywords'!$B$4:$B$209,$A12,'Clean Keywords'!$C$4:$C$209,$B12,'Clean Keywords'!$L$4:$L$209,"Exact learning query",'Clean Keywords'!$M$4:$M$209,"Include")</x:f>
        <x:v>2900</x:v>
      </x:c>
      <x:c r="H12" s="65" t="str">
        <x:v>what is a webhook vs api</x:v>
      </x:c>
      <x:c r="I12" s="67" t="n">
        <x:f>MAXIFS('Clean Keywords'!$E$4:$E$209,'Clean Keywords'!$B$4:$B$209,$A12,'Clean Keywords'!$C$4:$C$209,$B12,'Clean Keywords'!$L$4:$L$209,"Exact learning query",'Clean Keywords'!$M$4:$M$209,"Include")</x:f>
        <x:v>6600</x:v>
      </x:c>
      <x:c r="J12" s="65" t="str">
        <x:v>what is a webhook vs api</x:v>
      </x:c>
      <x:c r="K12" s="67" t="n">
        <x:f>MAXIFS('Clean Keywords'!$D$4:$D$209,'Clean Keywords'!$B$4:$B$209,$A12,'Clean Keywords'!$C$4:$C$209,$B12,'Clean Keywords'!$L$4:$L$209,"Broad category term",'Clean Keywords'!$M$4:$M$209,"Include")</x:f>
        <x:v>0</x:v>
      </x:c>
      <x:c r="L12" s="65" t="str">
        <x:v>—</x:v>
      </x:c>
      <x:c r="M12" s="67" t="n">
        <x:f>MAXIFS('Clean Keywords'!$E$4:$E$209,'Clean Keywords'!$B$4:$B$209,$A12,'Clean Keywords'!$C$4:$C$209,$B12,'Clean Keywords'!$L$4:$L$209,"Broad category term",'Clean Keywords'!$M$4:$M$209,"Include")</x:f>
        <x:v>0</x:v>
      </x:c>
      <x:c r="N12" s="65" t="str">
        <x:v>—</x:v>
      </x:c>
      <x:c r="O12" s="67" t="n">
        <x:f>MAXIFS('Clean Keywords'!$D$4:$D$209,'Clean Keywords'!$B$4:$B$209,$A12,'Clean Keywords'!$C$4:$C$209,$B12,'Clean Keywords'!$L$4:$L$209,"Specific concept term",'Clean Keywords'!$M$4:$M$209,"Include")</x:f>
        <x:v>210</x:v>
      </x:c>
      <x:c r="P12" s="65" t="str">
        <x:v>webhook api</x:v>
      </x:c>
      <x:c r="Q12" s="65" t="str">
        <x:v>12 variants/terms share this intent; volumes are shown individually and not summed.</x:v>
      </x:c>
    </x:row>
    <x:row r="13">
      <x:c r="A13" s="65" t="str">
        <x:v>APIs, integrations and data flow</x:v>
      </x:c>
      <x:c r="B13" s="65" t="str">
        <x:v>HTTP responses and status codes</x:v>
      </x:c>
      <x:c r="C13" s="59" t="n">
        <x:f>COUNTIFS('Clean Keywords'!$B$4:$B$209,$A13,'Clean Keywords'!$C$4:$C$209,$B13,'Clean Keywords'!$M$4:$M$209,"Include")</x:f>
        <x:v>1</x:v>
      </x:c>
      <x:c r="D13" s="59" t="n">
        <x:f>COUNTIFS('Clean Keywords'!$B$4:$B$209,$A13,'Clean Keywords'!$C$4:$C$209,$B13,'Clean Keywords'!$L$4:$L$209,"Exact learning query",'Clean Keywords'!$M$4:$M$209,"Include")</x:f>
        <x:v>1</x:v>
      </x:c>
      <x:c r="E13" s="59" t="n">
        <x:f>COUNTIFS('Clean Keywords'!$B$4:$B$209,$A13,'Clean Keywords'!$C$4:$C$209,$B13,'Clean Keywords'!$L$4:$L$209,"Exact learning query",'Clean Keywords'!$M$4:$M$209,"Include",'Clean Keywords'!$D$4:$D$209,"&gt;0")</x:f>
        <x:v>1</x:v>
      </x:c>
      <x:c r="F13" s="59" t="n">
        <x:f>COUNTIFS('Clean Keywords'!$B$4:$B$209,$A13,'Clean Keywords'!$C$4:$C$209,$B13,'Clean Keywords'!$L$4:$L$209,"Exact learning query",'Clean Keywords'!$M$4:$M$209,"Include",'Clean Keywords'!$E$4:$E$209,"&gt;0")</x:f>
        <x:v>1</x:v>
      </x:c>
      <x:c r="G13" s="59" t="n">
        <x:f>MAXIFS('Clean Keywords'!$D$4:$D$209,'Clean Keywords'!$B$4:$B$209,$A13,'Clean Keywords'!$C$4:$C$209,$B13,'Clean Keywords'!$L$4:$L$209,"Exact learning query",'Clean Keywords'!$M$4:$M$209,"Include")</x:f>
        <x:v>20</x:v>
      </x:c>
      <x:c r="H13" s="65" t="str">
        <x:v>http status codes explained</x:v>
      </x:c>
      <x:c r="I13" s="67" t="n">
        <x:f>MAXIFS('Clean Keywords'!$E$4:$E$209,'Clean Keywords'!$B$4:$B$209,$A13,'Clean Keywords'!$C$4:$C$209,$B13,'Clean Keywords'!$L$4:$L$209,"Exact learning query",'Clean Keywords'!$M$4:$M$209,"Include")</x:f>
        <x:v>20</x:v>
      </x:c>
      <x:c r="J13" s="65" t="str">
        <x:v>http status codes explained</x:v>
      </x:c>
      <x:c r="K13" s="67" t="n">
        <x:f>MAXIFS('Clean Keywords'!$D$4:$D$209,'Clean Keywords'!$B$4:$B$209,$A13,'Clean Keywords'!$C$4:$C$209,$B13,'Clean Keywords'!$L$4:$L$209,"Broad category term",'Clean Keywords'!$M$4:$M$209,"Include")</x:f>
        <x:v>0</x:v>
      </x:c>
      <x:c r="L13" s="65" t="str">
        <x:v>—</x:v>
      </x:c>
      <x:c r="M13" s="67" t="n">
        <x:f>MAXIFS('Clean Keywords'!$E$4:$E$209,'Clean Keywords'!$B$4:$B$209,$A13,'Clean Keywords'!$C$4:$C$209,$B13,'Clean Keywords'!$L$4:$L$209,"Broad category term",'Clean Keywords'!$M$4:$M$209,"Include")</x:f>
        <x:v>0</x:v>
      </x:c>
      <x:c r="N13" s="65" t="str">
        <x:v>—</x:v>
      </x:c>
      <x:c r="O13" s="67" t="n">
        <x:f>MAXIFS('Clean Keywords'!$D$4:$D$209,'Clean Keywords'!$B$4:$B$209,$A13,'Clean Keywords'!$C$4:$C$209,$B13,'Clean Keywords'!$L$4:$L$209,"Specific concept term",'Clean Keywords'!$M$4:$M$209,"Include")</x:f>
        <x:v>0</x:v>
      </x:c>
      <x:c r="P13" s="65" t="str">
        <x:v>—</x:v>
      </x:c>
      <x:c r="Q13" s="65" t="str">
        <x:v>Single retained term; no within-family aggregation.</x:v>
      </x:c>
    </x:row>
    <x:row r="14">
      <x:c r="A14" s="65" t="str">
        <x:v>APIs, integrations and data flow</x:v>
      </x:c>
      <x:c r="B14" s="65" t="str">
        <x:v>Webhook basics</x:v>
      </x:c>
      <x:c r="C14" s="59" t="n">
        <x:f>COUNTIFS('Clean Keywords'!$B$4:$B$209,$A14,'Clean Keywords'!$C$4:$C$209,$B14,'Clean Keywords'!$M$4:$M$209,"Include")</x:f>
        <x:v>4</x:v>
      </x:c>
      <x:c r="D14" s="59" t="n">
        <x:f>COUNTIFS('Clean Keywords'!$B$4:$B$209,$A14,'Clean Keywords'!$C$4:$C$209,$B14,'Clean Keywords'!$L$4:$L$209,"Exact learning query",'Clean Keywords'!$M$4:$M$209,"Include")</x:f>
        <x:v>4</x:v>
      </x:c>
      <x:c r="E14" s="59" t="n">
        <x:f>COUNTIFS('Clean Keywords'!$B$4:$B$209,$A14,'Clean Keywords'!$C$4:$C$209,$B14,'Clean Keywords'!$L$4:$L$209,"Exact learning query",'Clean Keywords'!$M$4:$M$209,"Include",'Clean Keywords'!$D$4:$D$209,"&gt;0")</x:f>
        <x:v>2</x:v>
      </x:c>
      <x:c r="F14" s="59" t="n">
        <x:f>COUNTIFS('Clean Keywords'!$B$4:$B$209,$A14,'Clean Keywords'!$C$4:$C$209,$B14,'Clean Keywords'!$L$4:$L$209,"Exact learning query",'Clean Keywords'!$M$4:$M$209,"Include",'Clean Keywords'!$E$4:$E$209,"&gt;0")</x:f>
        <x:v>2</x:v>
      </x:c>
      <x:c r="G14" s="59" t="n">
        <x:f>MAXIFS('Clean Keywords'!$D$4:$D$209,'Clean Keywords'!$B$4:$B$209,$A14,'Clean Keywords'!$C$4:$C$209,$B14,'Clean Keywords'!$L$4:$L$209,"Exact learning query",'Clean Keywords'!$M$4:$M$209,"Include")</x:f>
        <x:v>2400</x:v>
      </x:c>
      <x:c r="H14" s="65" t="str">
        <x:v>what are webhooks</x:v>
      </x:c>
      <x:c r="I14" s="67" t="n">
        <x:f>MAXIFS('Clean Keywords'!$E$4:$E$209,'Clean Keywords'!$B$4:$B$209,$A14,'Clean Keywords'!$C$4:$C$209,$B14,'Clean Keywords'!$L$4:$L$209,"Exact learning query",'Clean Keywords'!$M$4:$M$209,"Include")</x:f>
        <x:v>590</x:v>
      </x:c>
      <x:c r="J14" s="65" t="str">
        <x:v>what are webhooks</x:v>
      </x:c>
      <x:c r="K14" s="67" t="n">
        <x:f>MAXIFS('Clean Keywords'!$D$4:$D$209,'Clean Keywords'!$B$4:$B$209,$A14,'Clean Keywords'!$C$4:$C$209,$B14,'Clean Keywords'!$L$4:$L$209,"Broad category term",'Clean Keywords'!$M$4:$M$209,"Include")</x:f>
        <x:v>0</x:v>
      </x:c>
      <x:c r="L14" s="65" t="str">
        <x:v>—</x:v>
      </x:c>
      <x:c r="M14" s="67" t="n">
        <x:f>MAXIFS('Clean Keywords'!$E$4:$E$209,'Clean Keywords'!$B$4:$B$209,$A14,'Clean Keywords'!$C$4:$C$209,$B14,'Clean Keywords'!$L$4:$L$209,"Broad category term",'Clean Keywords'!$M$4:$M$209,"Include")</x:f>
        <x:v>0</x:v>
      </x:c>
      <x:c r="N14" s="65" t="str">
        <x:v>—</x:v>
      </x:c>
      <x:c r="O14" s="67" t="n">
        <x:f>MAXIFS('Clean Keywords'!$D$4:$D$209,'Clean Keywords'!$B$4:$B$209,$A14,'Clean Keywords'!$C$4:$C$209,$B14,'Clean Keywords'!$L$4:$L$209,"Specific concept term",'Clean Keywords'!$M$4:$M$209,"Include")</x:f>
        <x:v>0</x:v>
      </x:c>
      <x:c r="P14" s="65" t="str">
        <x:v>—</x:v>
      </x:c>
      <x:c r="Q14" s="65" t="str">
        <x:v>4 variants/terms share this intent; volumes are shown individually and not summed.</x:v>
      </x:c>
    </x:row>
    <x:row r="15">
      <x:c r="A15" s="65" t="str">
        <x:v>Development, testing and release</x:v>
      </x:c>
      <x:c r="B15" s="65" t="str">
        <x:v>CI/CD concepts and pipeline</x:v>
      </x:c>
      <x:c r="C15" s="59" t="n">
        <x:f>COUNTIFS('Clean Keywords'!$B$4:$B$209,$A15,'Clean Keywords'!$C$4:$C$209,$B15,'Clean Keywords'!$M$4:$M$209,"Include")</x:f>
        <x:v>11</x:v>
      </x:c>
      <x:c r="D15" s="59" t="n">
        <x:f>COUNTIFS('Clean Keywords'!$B$4:$B$209,$A15,'Clean Keywords'!$C$4:$C$209,$B15,'Clean Keywords'!$L$4:$L$209,"Exact learning query",'Clean Keywords'!$M$4:$M$209,"Include")</x:f>
        <x:v>6</x:v>
      </x:c>
      <x:c r="E15" s="59" t="n">
        <x:f>COUNTIFS('Clean Keywords'!$B$4:$B$209,$A15,'Clean Keywords'!$C$4:$C$209,$B15,'Clean Keywords'!$L$4:$L$209,"Exact learning query",'Clean Keywords'!$M$4:$M$209,"Include",'Clean Keywords'!$D$4:$D$209,"&gt;0")</x:f>
        <x:v>4</x:v>
      </x:c>
      <x:c r="F15" s="59" t="n">
        <x:f>COUNTIFS('Clean Keywords'!$B$4:$B$209,$A15,'Clean Keywords'!$C$4:$C$209,$B15,'Clean Keywords'!$L$4:$L$209,"Exact learning query",'Clean Keywords'!$M$4:$M$209,"Include",'Clean Keywords'!$E$4:$E$209,"&gt;0")</x:f>
        <x:v>3</x:v>
      </x:c>
      <x:c r="G15" s="59" t="n">
        <x:f>MAXIFS('Clean Keywords'!$D$4:$D$209,'Clean Keywords'!$B$4:$B$209,$A15,'Clean Keywords'!$C$4:$C$209,$B15,'Clean Keywords'!$L$4:$L$209,"Exact learning query",'Clean Keywords'!$M$4:$M$209,"Include")</x:f>
        <x:v>40</x:v>
      </x:c>
      <x:c r="H15" s="65" t="str">
        <x:v>how does ci cd pipeline work</x:v>
      </x:c>
      <x:c r="I15" s="67" t="n">
        <x:f>MAXIFS('Clean Keywords'!$E$4:$E$209,'Clean Keywords'!$B$4:$B$209,$A15,'Clean Keywords'!$C$4:$C$209,$B15,'Clean Keywords'!$L$4:$L$209,"Exact learning query",'Clean Keywords'!$M$4:$M$209,"Include")</x:f>
        <x:v>20</x:v>
      </x:c>
      <x:c r="J15" s="65" t="str">
        <x:v>how does ci cd pipeline work</x:v>
      </x:c>
      <x:c r="K15" s="67" t="n">
        <x:f>MAXIFS('Clean Keywords'!$D$4:$D$209,'Clean Keywords'!$B$4:$B$209,$A15,'Clean Keywords'!$C$4:$C$209,$B15,'Clean Keywords'!$L$4:$L$209,"Broad category term",'Clean Keywords'!$M$4:$M$209,"Include")</x:f>
        <x:v>14800</x:v>
      </x:c>
      <x:c r="L15" s="65" t="str">
        <x:v>ci/cd</x:v>
      </x:c>
      <x:c r="M15" s="67" t="n">
        <x:f>MAXIFS('Clean Keywords'!$E$4:$E$209,'Clean Keywords'!$B$4:$B$209,$A15,'Clean Keywords'!$C$4:$C$209,$B15,'Clean Keywords'!$L$4:$L$209,"Broad category term",'Clean Keywords'!$M$4:$M$209,"Include")</x:f>
        <x:v>3600</x:v>
      </x:c>
      <x:c r="N15" s="65" t="str">
        <x:v>ci/cd</x:v>
      </x:c>
      <x:c r="O15" s="67" t="n">
        <x:f>MAXIFS('Clean Keywords'!$D$4:$D$209,'Clean Keywords'!$B$4:$B$209,$A15,'Clean Keywords'!$C$4:$C$209,$B15,'Clean Keywords'!$L$4:$L$209,"Specific concept term",'Clean Keywords'!$M$4:$M$209,"Include")</x:f>
        <x:v>0</x:v>
      </x:c>
      <x:c r="P15" s="65" t="str">
        <x:v>—</x:v>
      </x:c>
      <x:c r="Q15" s="65" t="str">
        <x:v>11 variants/terms share this intent; volumes are shown individually and not summed.</x:v>
      </x:c>
    </x:row>
    <x:row r="16">
      <x:c r="A16" s="65" t="str">
        <x:v>Development, testing and release</x:v>
      </x:c>
      <x:c r="B16" s="65" t="str">
        <x:v>Code review, pull requests and Git workflow</x:v>
      </x:c>
      <x:c r="C16" s="59" t="n">
        <x:f>COUNTIFS('Clean Keywords'!$B$4:$B$209,$A16,'Clean Keywords'!$C$4:$C$209,$B16,'Clean Keywords'!$M$4:$M$209,"Include")</x:f>
        <x:v>3</x:v>
      </x:c>
      <x:c r="D16" s="59" t="n">
        <x:f>COUNTIFS('Clean Keywords'!$B$4:$B$209,$A16,'Clean Keywords'!$C$4:$C$209,$B16,'Clean Keywords'!$L$4:$L$209,"Exact learning query",'Clean Keywords'!$M$4:$M$209,"Include")</x:f>
        <x:v>3</x:v>
      </x:c>
      <x:c r="E16" s="59" t="n">
        <x:f>COUNTIFS('Clean Keywords'!$B$4:$B$209,$A16,'Clean Keywords'!$C$4:$C$209,$B16,'Clean Keywords'!$L$4:$L$209,"Exact learning query",'Clean Keywords'!$M$4:$M$209,"Include",'Clean Keywords'!$D$4:$D$209,"&gt;0")</x:f>
        <x:v>2</x:v>
      </x:c>
      <x:c r="F16" s="59" t="n">
        <x:f>COUNTIFS('Clean Keywords'!$B$4:$B$209,$A16,'Clean Keywords'!$C$4:$C$209,$B16,'Clean Keywords'!$L$4:$L$209,"Exact learning query",'Clean Keywords'!$M$4:$M$209,"Include",'Clean Keywords'!$E$4:$E$209,"&gt;0")</x:f>
        <x:v>2</x:v>
      </x:c>
      <x:c r="G16" s="59" t="n">
        <x:f>MAXIFS('Clean Keywords'!$D$4:$D$209,'Clean Keywords'!$B$4:$B$209,$A16,'Clean Keywords'!$C$4:$C$209,$B16,'Clean Keywords'!$L$4:$L$209,"Exact learning query",'Clean Keywords'!$M$4:$M$209,"Include")</x:f>
        <x:v>20</x:v>
      </x:c>
      <x:c r="H16" s="65" t="str">
        <x:v>pull request explained</x:v>
      </x:c>
      <x:c r="I16" s="67" t="n">
        <x:f>MAXIFS('Clean Keywords'!$E$4:$E$209,'Clean Keywords'!$B$4:$B$209,$A16,'Clean Keywords'!$C$4:$C$209,$B16,'Clean Keywords'!$L$4:$L$209,"Exact learning query",'Clean Keywords'!$M$4:$M$209,"Include")</x:f>
        <x:v>20</x:v>
      </x:c>
      <x:c r="J16" s="65" t="str">
        <x:v>github workflow explained</x:v>
      </x:c>
      <x:c r="K16" s="67" t="n">
        <x:f>MAXIFS('Clean Keywords'!$D$4:$D$209,'Clean Keywords'!$B$4:$B$209,$A16,'Clean Keywords'!$C$4:$C$209,$B16,'Clean Keywords'!$L$4:$L$209,"Broad category term",'Clean Keywords'!$M$4:$M$209,"Include")</x:f>
        <x:v>0</x:v>
      </x:c>
      <x:c r="L16" s="65" t="str">
        <x:v>—</x:v>
      </x:c>
      <x:c r="M16" s="67" t="n">
        <x:f>MAXIFS('Clean Keywords'!$E$4:$E$209,'Clean Keywords'!$B$4:$B$209,$A16,'Clean Keywords'!$C$4:$C$209,$B16,'Clean Keywords'!$L$4:$L$209,"Broad category term",'Clean Keywords'!$M$4:$M$209,"Include")</x:f>
        <x:v>0</x:v>
      </x:c>
      <x:c r="N16" s="65" t="str">
        <x:v>—</x:v>
      </x:c>
      <x:c r="O16" s="67" t="n">
        <x:f>MAXIFS('Clean Keywords'!$D$4:$D$209,'Clean Keywords'!$B$4:$B$209,$A16,'Clean Keywords'!$C$4:$C$209,$B16,'Clean Keywords'!$L$4:$L$209,"Specific concept term",'Clean Keywords'!$M$4:$M$209,"Include")</x:f>
        <x:v>0</x:v>
      </x:c>
      <x:c r="P16" s="65" t="str">
        <x:v>—</x:v>
      </x:c>
      <x:c r="Q16" s="65" t="str">
        <x:v>3 variants/terms share this intent; volumes are shown individually and not summed.</x:v>
      </x:c>
    </x:row>
    <x:row r="17">
      <x:c r="A17" s="65" t="str">
        <x:v>Development, testing and release</x:v>
      </x:c>
      <x:c r="B17" s="65" t="str">
        <x:v>Development, test, staging and production environments</x:v>
      </x:c>
      <x:c r="C17" s="59" t="n">
        <x:f>COUNTIFS('Clean Keywords'!$B$4:$B$209,$A17,'Clean Keywords'!$C$4:$C$209,$B17,'Clean Keywords'!$M$4:$M$209,"Include")</x:f>
        <x:v>12</x:v>
      </x:c>
      <x:c r="D17" s="59" t="n">
        <x:f>COUNTIFS('Clean Keywords'!$B$4:$B$209,$A17,'Clean Keywords'!$C$4:$C$209,$B17,'Clean Keywords'!$L$4:$L$209,"Exact learning query",'Clean Keywords'!$M$4:$M$209,"Include")</x:f>
        <x:v>4</x:v>
      </x:c>
      <x:c r="E17" s="59" t="n">
        <x:f>COUNTIFS('Clean Keywords'!$B$4:$B$209,$A17,'Clean Keywords'!$C$4:$C$209,$B17,'Clean Keywords'!$L$4:$L$209,"Exact learning query",'Clean Keywords'!$M$4:$M$209,"Include",'Clean Keywords'!$D$4:$D$209,"&gt;0")</x:f>
        <x:v>3</x:v>
      </x:c>
      <x:c r="F17" s="59" t="n">
        <x:f>COUNTIFS('Clean Keywords'!$B$4:$B$209,$A17,'Clean Keywords'!$C$4:$C$209,$B17,'Clean Keywords'!$L$4:$L$209,"Exact learning query",'Clean Keywords'!$M$4:$M$209,"Include",'Clean Keywords'!$E$4:$E$209,"&gt;0")</x:f>
        <x:v>3</x:v>
      </x:c>
      <x:c r="G17" s="59" t="n">
        <x:f>MAXIFS('Clean Keywords'!$D$4:$D$209,'Clean Keywords'!$B$4:$B$209,$A17,'Clean Keywords'!$C$4:$C$209,$B17,'Clean Keywords'!$L$4:$L$209,"Exact learning query",'Clean Keywords'!$M$4:$M$209,"Include")</x:f>
        <x:v>110</x:v>
      </x:c>
      <x:c r="H17" s="65" t="str">
        <x:v>staging vs production</x:v>
      </x:c>
      <x:c r="I17" s="67" t="n">
        <x:f>MAXIFS('Clean Keywords'!$E$4:$E$209,'Clean Keywords'!$B$4:$B$209,$A17,'Clean Keywords'!$C$4:$C$209,$B17,'Clean Keywords'!$L$4:$L$209,"Exact learning query",'Clean Keywords'!$M$4:$M$209,"Include")</x:f>
        <x:v>20</x:v>
      </x:c>
      <x:c r="J17" s="65" t="str">
        <x:v>staging vs production</x:v>
      </x:c>
      <x:c r="K17" s="67" t="n">
        <x:f>MAXIFS('Clean Keywords'!$D$4:$D$209,'Clean Keywords'!$B$4:$B$209,$A17,'Clean Keywords'!$C$4:$C$209,$B17,'Clean Keywords'!$L$4:$L$209,"Broad category term",'Clean Keywords'!$M$4:$M$209,"Include")</x:f>
        <x:v>0</x:v>
      </x:c>
      <x:c r="L17" s="65" t="str">
        <x:v>—</x:v>
      </x:c>
      <x:c r="M17" s="67" t="n">
        <x:f>MAXIFS('Clean Keywords'!$E$4:$E$209,'Clean Keywords'!$B$4:$B$209,$A17,'Clean Keywords'!$C$4:$C$209,$B17,'Clean Keywords'!$L$4:$L$209,"Broad category term",'Clean Keywords'!$M$4:$M$209,"Include")</x:f>
        <x:v>0</x:v>
      </x:c>
      <x:c r="N17" s="65" t="str">
        <x:v>—</x:v>
      </x:c>
      <x:c r="O17" s="67" t="n">
        <x:f>MAXIFS('Clean Keywords'!$D$4:$D$209,'Clean Keywords'!$B$4:$B$209,$A17,'Clean Keywords'!$C$4:$C$209,$B17,'Clean Keywords'!$L$4:$L$209,"Specific concept term",'Clean Keywords'!$M$4:$M$209,"Include")</x:f>
        <x:v>1600</x:v>
      </x:c>
      <x:c r="P17" s="65" t="str">
        <x:v>dev stage</x:v>
      </x:c>
      <x:c r="Q17" s="65" t="str">
        <x:v>12 variants/terms share this intent; volumes are shown individually and not summed.</x:v>
      </x:c>
    </x:row>
    <x:row r="18">
      <x:c r="A18" s="65" t="str">
        <x:v>Development, testing and release</x:v>
      </x:c>
      <x:c r="B18" s="65" t="str">
        <x:v>Feature flags and release control</x:v>
      </x:c>
      <x:c r="C18" s="59" t="n">
        <x:f>COUNTIFS('Clean Keywords'!$B$4:$B$209,$A18,'Clean Keywords'!$C$4:$C$209,$B18,'Clean Keywords'!$M$4:$M$209,"Include")</x:f>
        <x:v>1</x:v>
      </x:c>
      <x:c r="D18" s="59" t="n">
        <x:f>COUNTIFS('Clean Keywords'!$B$4:$B$209,$A18,'Clean Keywords'!$C$4:$C$209,$B18,'Clean Keywords'!$L$4:$L$209,"Exact learning query",'Clean Keywords'!$M$4:$M$209,"Include")</x:f>
        <x:v>1</x:v>
      </x:c>
      <x:c r="E18" s="59" t="n">
        <x:f>COUNTIFS('Clean Keywords'!$B$4:$B$209,$A18,'Clean Keywords'!$C$4:$C$209,$B18,'Clean Keywords'!$L$4:$L$209,"Exact learning query",'Clean Keywords'!$M$4:$M$209,"Include",'Clean Keywords'!$D$4:$D$209,"&gt;0")</x:f>
        <x:v>1</x:v>
      </x:c>
      <x:c r="F18" s="59" t="n">
        <x:f>COUNTIFS('Clean Keywords'!$B$4:$B$209,$A18,'Clean Keywords'!$C$4:$C$209,$B18,'Clean Keywords'!$L$4:$L$209,"Exact learning query",'Clean Keywords'!$M$4:$M$209,"Include",'Clean Keywords'!$E$4:$E$209,"&gt;0")</x:f>
        <x:v>1</x:v>
      </x:c>
      <x:c r="G18" s="59" t="n">
        <x:f>MAXIFS('Clean Keywords'!$D$4:$D$209,'Clean Keywords'!$B$4:$B$209,$A18,'Clean Keywords'!$C$4:$C$209,$B18,'Clean Keywords'!$L$4:$L$209,"Exact learning query",'Clean Keywords'!$M$4:$M$209,"Include")</x:f>
        <x:v>30</x:v>
      </x:c>
      <x:c r="H18" s="65" t="str">
        <x:v>feature flags explained</x:v>
      </x:c>
      <x:c r="I18" s="67" t="n">
        <x:f>MAXIFS('Clean Keywords'!$E$4:$E$209,'Clean Keywords'!$B$4:$B$209,$A18,'Clean Keywords'!$C$4:$C$209,$B18,'Clean Keywords'!$L$4:$L$209,"Exact learning query",'Clean Keywords'!$M$4:$M$209,"Include")</x:f>
        <x:v>10</x:v>
      </x:c>
      <x:c r="J18" s="65" t="str">
        <x:v>feature flags explained</x:v>
      </x:c>
      <x:c r="K18" s="67" t="n">
        <x:f>MAXIFS('Clean Keywords'!$D$4:$D$209,'Clean Keywords'!$B$4:$B$209,$A18,'Clean Keywords'!$C$4:$C$209,$B18,'Clean Keywords'!$L$4:$L$209,"Broad category term",'Clean Keywords'!$M$4:$M$209,"Include")</x:f>
        <x:v>0</x:v>
      </x:c>
      <x:c r="L18" s="65" t="str">
        <x:v>—</x:v>
      </x:c>
      <x:c r="M18" s="67" t="n">
        <x:f>MAXIFS('Clean Keywords'!$E$4:$E$209,'Clean Keywords'!$B$4:$B$209,$A18,'Clean Keywords'!$C$4:$C$209,$B18,'Clean Keywords'!$L$4:$L$209,"Broad category term",'Clean Keywords'!$M$4:$M$209,"Include")</x:f>
        <x:v>0</x:v>
      </x:c>
      <x:c r="N18" s="65" t="str">
        <x:v>—</x:v>
      </x:c>
      <x:c r="O18" s="67" t="n">
        <x:f>MAXIFS('Clean Keywords'!$D$4:$D$209,'Clean Keywords'!$B$4:$B$209,$A18,'Clean Keywords'!$C$4:$C$209,$B18,'Clean Keywords'!$L$4:$L$209,"Specific concept term",'Clean Keywords'!$M$4:$M$209,"Include")</x:f>
        <x:v>0</x:v>
      </x:c>
      <x:c r="P18" s="65" t="str">
        <x:v>—</x:v>
      </x:c>
      <x:c r="Q18" s="65" t="str">
        <x:v>Single retained term; no within-family aggregation.</x:v>
      </x:c>
    </x:row>
    <x:row r="19">
      <x:c r="A19" s="65" t="str">
        <x:v>Development, testing and release</x:v>
      </x:c>
      <x:c r="B19" s="65" t="str">
        <x:v>Software deployment process</x:v>
      </x:c>
      <x:c r="C19" s="59" t="n">
        <x:f>COUNTIFS('Clean Keywords'!$B$4:$B$209,$A19,'Clean Keywords'!$C$4:$C$209,$B19,'Clean Keywords'!$M$4:$M$209,"Include")</x:f>
        <x:v>1</x:v>
      </x:c>
      <x:c r="D19" s="59" t="n">
        <x:f>COUNTIFS('Clean Keywords'!$B$4:$B$209,$A19,'Clean Keywords'!$C$4:$C$209,$B19,'Clean Keywords'!$L$4:$L$209,"Exact learning query",'Clean Keywords'!$M$4:$M$209,"Include")</x:f>
        <x:v>1</x:v>
      </x:c>
      <x:c r="E19" s="59" t="n">
        <x:f>COUNTIFS('Clean Keywords'!$B$4:$B$209,$A19,'Clean Keywords'!$C$4:$C$209,$B19,'Clean Keywords'!$L$4:$L$209,"Exact learning query",'Clean Keywords'!$M$4:$M$209,"Include",'Clean Keywords'!$D$4:$D$209,"&gt;0")</x:f>
        <x:v>0</x:v>
      </x:c>
      <x:c r="F19" s="59" t="n">
        <x:f>COUNTIFS('Clean Keywords'!$B$4:$B$209,$A19,'Clean Keywords'!$C$4:$C$209,$B19,'Clean Keywords'!$L$4:$L$209,"Exact learning query",'Clean Keywords'!$M$4:$M$209,"Include",'Clean Keywords'!$E$4:$E$209,"&gt;0")</x:f>
        <x:v>0</x:v>
      </x:c>
      <x:c r="G19" s="59" t="n">
        <x:f>MAXIFS('Clean Keywords'!$D$4:$D$209,'Clean Keywords'!$B$4:$B$209,$A19,'Clean Keywords'!$C$4:$C$209,$B19,'Clean Keywords'!$L$4:$L$209,"Exact learning query",'Clean Keywords'!$M$4:$M$209,"Include")</x:f>
        <x:v>0</x:v>
      </x:c>
      <x:c r="H19" s="65" t="str">
        <x:v>how does software deployment work</x:v>
      </x:c>
      <x:c r="I19" s="67" t="n">
        <x:f>MAXIFS('Clean Keywords'!$E$4:$E$209,'Clean Keywords'!$B$4:$B$209,$A19,'Clean Keywords'!$C$4:$C$209,$B19,'Clean Keywords'!$L$4:$L$209,"Exact learning query",'Clean Keywords'!$M$4:$M$209,"Include")</x:f>
        <x:v>0</x:v>
      </x:c>
      <x:c r="J19" s="65" t="str">
        <x:v>how does software deployment work</x:v>
      </x:c>
      <x:c r="K19" s="67" t="n">
        <x:f>MAXIFS('Clean Keywords'!$D$4:$D$209,'Clean Keywords'!$B$4:$B$209,$A19,'Clean Keywords'!$C$4:$C$209,$B19,'Clean Keywords'!$L$4:$L$209,"Broad category term",'Clean Keywords'!$M$4:$M$209,"Include")</x:f>
        <x:v>0</x:v>
      </x:c>
      <x:c r="L19" s="65" t="str">
        <x:v>—</x:v>
      </x:c>
      <x:c r="M19" s="67" t="n">
        <x:f>MAXIFS('Clean Keywords'!$E$4:$E$209,'Clean Keywords'!$B$4:$B$209,$A19,'Clean Keywords'!$C$4:$C$209,$B19,'Clean Keywords'!$L$4:$L$209,"Broad category term",'Clean Keywords'!$M$4:$M$209,"Include")</x:f>
        <x:v>0</x:v>
      </x:c>
      <x:c r="N19" s="65" t="str">
        <x:v>—</x:v>
      </x:c>
      <x:c r="O19" s="67" t="n">
        <x:f>MAXIFS('Clean Keywords'!$D$4:$D$209,'Clean Keywords'!$B$4:$B$209,$A19,'Clean Keywords'!$C$4:$C$209,$B19,'Clean Keywords'!$L$4:$L$209,"Specific concept term",'Clean Keywords'!$M$4:$M$209,"Include")</x:f>
        <x:v>0</x:v>
      </x:c>
      <x:c r="P19" s="65" t="str">
        <x:v>—</x:v>
      </x:c>
      <x:c r="Q19" s="65" t="str">
        <x:v>Single retained term; no within-family aggregation.</x:v>
      </x:c>
    </x:row>
    <x:row r="20">
      <x:c r="A20" s="65" t="str">
        <x:v>Investigation and bug triage</x:v>
      </x:c>
      <x:c r="B20" s="65" t="str">
        <x:v>Application logs</x:v>
      </x:c>
      <x:c r="C20" s="59" t="n">
        <x:f>COUNTIFS('Clean Keywords'!$B$4:$B$209,$A20,'Clean Keywords'!$C$4:$C$209,$B20,'Clean Keywords'!$M$4:$M$209,"Include")</x:f>
        <x:v>2</x:v>
      </x:c>
      <x:c r="D20" s="59" t="n">
        <x:f>COUNTIFS('Clean Keywords'!$B$4:$B$209,$A20,'Clean Keywords'!$C$4:$C$209,$B20,'Clean Keywords'!$L$4:$L$209,"Exact learning query",'Clean Keywords'!$M$4:$M$209,"Include")</x:f>
        <x:v>2</x:v>
      </x:c>
      <x:c r="E20" s="59" t="n">
        <x:f>COUNTIFS('Clean Keywords'!$B$4:$B$209,$A20,'Clean Keywords'!$C$4:$C$209,$B20,'Clean Keywords'!$L$4:$L$209,"Exact learning query",'Clean Keywords'!$M$4:$M$209,"Include",'Clean Keywords'!$D$4:$D$209,"&gt;0")</x:f>
        <x:v>1</x:v>
      </x:c>
      <x:c r="F20" s="59" t="n">
        <x:f>COUNTIFS('Clean Keywords'!$B$4:$B$209,$A20,'Clean Keywords'!$C$4:$C$209,$B20,'Clean Keywords'!$L$4:$L$209,"Exact learning query",'Clean Keywords'!$M$4:$M$209,"Include",'Clean Keywords'!$E$4:$E$209,"&gt;0")</x:f>
        <x:v>1</x:v>
      </x:c>
      <x:c r="G20" s="59" t="n">
        <x:f>MAXIFS('Clean Keywords'!$D$4:$D$209,'Clean Keywords'!$B$4:$B$209,$A20,'Clean Keywords'!$C$4:$C$209,$B20,'Clean Keywords'!$L$4:$L$209,"Exact learning query",'Clean Keywords'!$M$4:$M$209,"Include")</x:f>
        <x:v>20</x:v>
      </x:c>
      <x:c r="H20" s="65" t="str">
        <x:v>what are application logs</x:v>
      </x:c>
      <x:c r="I20" s="67" t="n">
        <x:f>MAXIFS('Clean Keywords'!$E$4:$E$209,'Clean Keywords'!$B$4:$B$209,$A20,'Clean Keywords'!$C$4:$C$209,$B20,'Clean Keywords'!$L$4:$L$209,"Exact learning query",'Clean Keywords'!$M$4:$M$209,"Include")</x:f>
        <x:v>20</x:v>
      </x:c>
      <x:c r="J20" s="65" t="str">
        <x:v>what are application logs</x:v>
      </x:c>
      <x:c r="K20" s="67" t="n">
        <x:f>MAXIFS('Clean Keywords'!$D$4:$D$209,'Clean Keywords'!$B$4:$B$209,$A20,'Clean Keywords'!$C$4:$C$209,$B20,'Clean Keywords'!$L$4:$L$209,"Broad category term",'Clean Keywords'!$M$4:$M$209,"Include")</x:f>
        <x:v>0</x:v>
      </x:c>
      <x:c r="L20" s="65" t="str">
        <x:v>—</x:v>
      </x:c>
      <x:c r="M20" s="67" t="n">
        <x:f>MAXIFS('Clean Keywords'!$E$4:$E$209,'Clean Keywords'!$B$4:$B$209,$A20,'Clean Keywords'!$C$4:$C$209,$B20,'Clean Keywords'!$L$4:$L$209,"Broad category term",'Clean Keywords'!$M$4:$M$209,"Include")</x:f>
        <x:v>0</x:v>
      </x:c>
      <x:c r="N20" s="65" t="str">
        <x:v>—</x:v>
      </x:c>
      <x:c r="O20" s="67" t="n">
        <x:f>MAXIFS('Clean Keywords'!$D$4:$D$209,'Clean Keywords'!$B$4:$B$209,$A20,'Clean Keywords'!$C$4:$C$209,$B20,'Clean Keywords'!$L$4:$L$209,"Specific concept term",'Clean Keywords'!$M$4:$M$209,"Include")</x:f>
        <x:v>0</x:v>
      </x:c>
      <x:c r="P20" s="65" t="str">
        <x:v>—</x:v>
      </x:c>
      <x:c r="Q20" s="65" t="str">
        <x:v>2 variants/terms share this intent; volumes are shown individually and not summed.</x:v>
      </x:c>
    </x:row>
    <x:row r="21">
      <x:c r="A21" s="65" t="str">
        <x:v>Investigation and bug triage</x:v>
      </x:c>
      <x:c r="B21" s="65" t="str">
        <x:v>Browser DevTools and network inspection</x:v>
      </x:c>
      <x:c r="C21" s="59" t="n">
        <x:f>COUNTIFS('Clean Keywords'!$B$4:$B$209,$A21,'Clean Keywords'!$C$4:$C$209,$B21,'Clean Keywords'!$M$4:$M$209,"Include")</x:f>
        <x:v>1</x:v>
      </x:c>
      <x:c r="D21" s="59" t="n">
        <x:f>COUNTIFS('Clean Keywords'!$B$4:$B$209,$A21,'Clean Keywords'!$C$4:$C$209,$B21,'Clean Keywords'!$L$4:$L$209,"Exact learning query",'Clean Keywords'!$M$4:$M$209,"Include")</x:f>
        <x:v>1</x:v>
      </x:c>
      <x:c r="E21" s="59" t="n">
        <x:f>COUNTIFS('Clean Keywords'!$B$4:$B$209,$A21,'Clean Keywords'!$C$4:$C$209,$B21,'Clean Keywords'!$L$4:$L$209,"Exact learning query",'Clean Keywords'!$M$4:$M$209,"Include",'Clean Keywords'!$D$4:$D$209,"&gt;0")</x:f>
        <x:v>0</x:v>
      </x:c>
      <x:c r="F21" s="59" t="n">
        <x:f>COUNTIFS('Clean Keywords'!$B$4:$B$209,$A21,'Clean Keywords'!$C$4:$C$209,$B21,'Clean Keywords'!$L$4:$L$209,"Exact learning query",'Clean Keywords'!$M$4:$M$209,"Include",'Clean Keywords'!$E$4:$E$209,"&gt;0")</x:f>
        <x:v>0</x:v>
      </x:c>
      <x:c r="G21" s="59" t="n">
        <x:f>MAXIFS('Clean Keywords'!$D$4:$D$209,'Clean Keywords'!$B$4:$B$209,$A21,'Clean Keywords'!$C$4:$C$209,$B21,'Clean Keywords'!$L$4:$L$209,"Exact learning query",'Clean Keywords'!$M$4:$M$209,"Include")</x:f>
        <x:v>0</x:v>
      </x:c>
      <x:c r="H21" s="65" t="str">
        <x:v>—</x:v>
      </x:c>
      <x:c r="I21" s="67" t="n">
        <x:f>MAXIFS('Clean Keywords'!$E$4:$E$209,'Clean Keywords'!$B$4:$B$209,$A21,'Clean Keywords'!$C$4:$C$209,$B21,'Clean Keywords'!$L$4:$L$209,"Exact learning query",'Clean Keywords'!$M$4:$M$209,"Include")</x:f>
        <x:v>0</x:v>
      </x:c>
      <x:c r="J21" s="65" t="str">
        <x:v>—</x:v>
      </x:c>
      <x:c r="K21" s="67" t="n">
        <x:f>MAXIFS('Clean Keywords'!$D$4:$D$209,'Clean Keywords'!$B$4:$B$209,$A21,'Clean Keywords'!$C$4:$C$209,$B21,'Clean Keywords'!$L$4:$L$209,"Broad category term",'Clean Keywords'!$M$4:$M$209,"Include")</x:f>
        <x:v>0</x:v>
      </x:c>
      <x:c r="L21" s="65" t="str">
        <x:v>—</x:v>
      </x:c>
      <x:c r="M21" s="67" t="n">
        <x:f>MAXIFS('Clean Keywords'!$E$4:$E$209,'Clean Keywords'!$B$4:$B$209,$A21,'Clean Keywords'!$C$4:$C$209,$B21,'Clean Keywords'!$L$4:$L$209,"Broad category term",'Clean Keywords'!$M$4:$M$209,"Include")</x:f>
        <x:v>0</x:v>
      </x:c>
      <x:c r="N21" s="65" t="str">
        <x:v>—</x:v>
      </x:c>
      <x:c r="O21" s="67" t="n">
        <x:f>MAXIFS('Clean Keywords'!$D$4:$D$209,'Clean Keywords'!$B$4:$B$209,$A21,'Clean Keywords'!$C$4:$C$209,$B21,'Clean Keywords'!$L$4:$L$209,"Specific concept term",'Clean Keywords'!$M$4:$M$209,"Include")</x:f>
        <x:v>0</x:v>
      </x:c>
      <x:c r="P21" s="65" t="str">
        <x:v>—</x:v>
      </x:c>
      <x:c r="Q21" s="65" t="str">
        <x:v>Single retained term; no within-family aggregation.</x:v>
      </x:c>
    </x:row>
    <x:row r="22">
      <x:c r="A22" s="65" t="str">
        <x:v>Investigation and bug triage</x:v>
      </x:c>
      <x:c r="B22" s="65" t="str">
        <x:v>Bug reproduction</x:v>
      </x:c>
      <x:c r="C22" s="59" t="n">
        <x:f>COUNTIFS('Clean Keywords'!$B$4:$B$209,$A22,'Clean Keywords'!$C$4:$C$209,$B22,'Clean Keywords'!$M$4:$M$209,"Include")</x:f>
        <x:v>3</x:v>
      </x:c>
      <x:c r="D22" s="59" t="n">
        <x:f>COUNTIFS('Clean Keywords'!$B$4:$B$209,$A22,'Clean Keywords'!$C$4:$C$209,$B22,'Clean Keywords'!$L$4:$L$209,"Exact learning query",'Clean Keywords'!$M$4:$M$209,"Include")</x:f>
        <x:v>3</x:v>
      </x:c>
      <x:c r="E22" s="59" t="n">
        <x:f>COUNTIFS('Clean Keywords'!$B$4:$B$209,$A22,'Clean Keywords'!$C$4:$C$209,$B22,'Clean Keywords'!$L$4:$L$209,"Exact learning query",'Clean Keywords'!$M$4:$M$209,"Include",'Clean Keywords'!$D$4:$D$209,"&gt;0")</x:f>
        <x:v>1</x:v>
      </x:c>
      <x:c r="F22" s="59" t="n">
        <x:f>COUNTIFS('Clean Keywords'!$B$4:$B$209,$A22,'Clean Keywords'!$C$4:$C$209,$B22,'Clean Keywords'!$L$4:$L$209,"Exact learning query",'Clean Keywords'!$M$4:$M$209,"Include",'Clean Keywords'!$E$4:$E$209,"&gt;0")</x:f>
        <x:v>0</x:v>
      </x:c>
      <x:c r="G22" s="59" t="n">
        <x:f>MAXIFS('Clean Keywords'!$D$4:$D$209,'Clean Keywords'!$B$4:$B$209,$A22,'Clean Keywords'!$C$4:$C$209,$B22,'Clean Keywords'!$L$4:$L$209,"Exact learning query",'Clean Keywords'!$M$4:$M$209,"Include")</x:f>
        <x:v>20</x:v>
      </x:c>
      <x:c r="H22" s="65" t="str">
        <x:v>how to reproduce a bug</x:v>
      </x:c>
      <x:c r="I22" s="67" t="n">
        <x:f>MAXIFS('Clean Keywords'!$E$4:$E$209,'Clean Keywords'!$B$4:$B$209,$A22,'Clean Keywords'!$C$4:$C$209,$B22,'Clean Keywords'!$L$4:$L$209,"Exact learning query",'Clean Keywords'!$M$4:$M$209,"Include")</x:f>
        <x:v>0</x:v>
      </x:c>
      <x:c r="J22" s="65" t="str">
        <x:v>how to reproduce a bug</x:v>
      </x:c>
      <x:c r="K22" s="67" t="n">
        <x:f>MAXIFS('Clean Keywords'!$D$4:$D$209,'Clean Keywords'!$B$4:$B$209,$A22,'Clean Keywords'!$C$4:$C$209,$B22,'Clean Keywords'!$L$4:$L$209,"Broad category term",'Clean Keywords'!$M$4:$M$209,"Include")</x:f>
        <x:v>0</x:v>
      </x:c>
      <x:c r="L22" s="65" t="str">
        <x:v>—</x:v>
      </x:c>
      <x:c r="M22" s="67" t="n">
        <x:f>MAXIFS('Clean Keywords'!$E$4:$E$209,'Clean Keywords'!$B$4:$B$209,$A22,'Clean Keywords'!$C$4:$C$209,$B22,'Clean Keywords'!$L$4:$L$209,"Broad category term",'Clean Keywords'!$M$4:$M$209,"Include")</x:f>
        <x:v>0</x:v>
      </x:c>
      <x:c r="N22" s="65" t="str">
        <x:v>—</x:v>
      </x:c>
      <x:c r="O22" s="67" t="n">
        <x:f>MAXIFS('Clean Keywords'!$D$4:$D$209,'Clean Keywords'!$B$4:$B$209,$A22,'Clean Keywords'!$C$4:$C$209,$B22,'Clean Keywords'!$L$4:$L$209,"Specific concept term",'Clean Keywords'!$M$4:$M$209,"Include")</x:f>
        <x:v>0</x:v>
      </x:c>
      <x:c r="P22" s="65" t="str">
        <x:v>—</x:v>
      </x:c>
      <x:c r="Q22" s="65" t="str">
        <x:v>3 variants/terms share this intent; volumes are shown individually and not summed.</x:v>
      </x:c>
    </x:row>
    <x:row r="23">
      <x:c r="A23" s="65" t="str">
        <x:v>Investigation and bug triage</x:v>
      </x:c>
      <x:c r="B23" s="65" t="str">
        <x:v>Bug severity versus priority</x:v>
      </x:c>
      <x:c r="C23" s="59" t="n">
        <x:f>COUNTIFS('Clean Keywords'!$B$4:$B$209,$A23,'Clean Keywords'!$C$4:$C$209,$B23,'Clean Keywords'!$M$4:$M$209,"Include")</x:f>
        <x:v>1</x:v>
      </x:c>
      <x:c r="D23" s="59" t="n">
        <x:f>COUNTIFS('Clean Keywords'!$B$4:$B$209,$A23,'Clean Keywords'!$C$4:$C$209,$B23,'Clean Keywords'!$L$4:$L$209,"Exact learning query",'Clean Keywords'!$M$4:$M$209,"Include")</x:f>
        <x:v>1</x:v>
      </x:c>
      <x:c r="E23" s="59" t="n">
        <x:f>COUNTIFS('Clean Keywords'!$B$4:$B$209,$A23,'Clean Keywords'!$C$4:$C$209,$B23,'Clean Keywords'!$L$4:$L$209,"Exact learning query",'Clean Keywords'!$M$4:$M$209,"Include",'Clean Keywords'!$D$4:$D$209,"&gt;0")</x:f>
        <x:v>1</x:v>
      </x:c>
      <x:c r="F23" s="59" t="n">
        <x:f>COUNTIFS('Clean Keywords'!$B$4:$B$209,$A23,'Clean Keywords'!$C$4:$C$209,$B23,'Clean Keywords'!$L$4:$L$209,"Exact learning query",'Clean Keywords'!$M$4:$M$209,"Include",'Clean Keywords'!$E$4:$E$209,"&gt;0")</x:f>
        <x:v>1</x:v>
      </x:c>
      <x:c r="G23" s="59" t="n">
        <x:f>MAXIFS('Clean Keywords'!$D$4:$D$209,'Clean Keywords'!$B$4:$B$209,$A23,'Clean Keywords'!$C$4:$C$209,$B23,'Clean Keywords'!$L$4:$L$209,"Exact learning query",'Clean Keywords'!$M$4:$M$209,"Include")</x:f>
        <x:v>20</x:v>
      </x:c>
      <x:c r="H23" s="65" t="str">
        <x:v>severity vs priority bug</x:v>
      </x:c>
      <x:c r="I23" s="67" t="n">
        <x:f>MAXIFS('Clean Keywords'!$E$4:$E$209,'Clean Keywords'!$B$4:$B$209,$A23,'Clean Keywords'!$C$4:$C$209,$B23,'Clean Keywords'!$L$4:$L$209,"Exact learning query",'Clean Keywords'!$M$4:$M$209,"Include")</x:f>
        <x:v>20</x:v>
      </x:c>
      <x:c r="J23" s="65" t="str">
        <x:v>severity vs priority bug</x:v>
      </x:c>
      <x:c r="K23" s="67" t="n">
        <x:f>MAXIFS('Clean Keywords'!$D$4:$D$209,'Clean Keywords'!$B$4:$B$209,$A23,'Clean Keywords'!$C$4:$C$209,$B23,'Clean Keywords'!$L$4:$L$209,"Broad category term",'Clean Keywords'!$M$4:$M$209,"Include")</x:f>
        <x:v>0</x:v>
      </x:c>
      <x:c r="L23" s="65" t="str">
        <x:v>—</x:v>
      </x:c>
      <x:c r="M23" s="67" t="n">
        <x:f>MAXIFS('Clean Keywords'!$E$4:$E$209,'Clean Keywords'!$B$4:$B$209,$A23,'Clean Keywords'!$C$4:$C$209,$B23,'Clean Keywords'!$L$4:$L$209,"Broad category term",'Clean Keywords'!$M$4:$M$209,"Include")</x:f>
        <x:v>0</x:v>
      </x:c>
      <x:c r="N23" s="65" t="str">
        <x:v>—</x:v>
      </x:c>
      <x:c r="O23" s="67" t="n">
        <x:f>MAXIFS('Clean Keywords'!$D$4:$D$209,'Clean Keywords'!$B$4:$B$209,$A23,'Clean Keywords'!$C$4:$C$209,$B23,'Clean Keywords'!$L$4:$L$209,"Specific concept term",'Clean Keywords'!$M$4:$M$209,"Include")</x:f>
        <x:v>0</x:v>
      </x:c>
      <x:c r="P23" s="65" t="str">
        <x:v>—</x:v>
      </x:c>
      <x:c r="Q23" s="65" t="str">
        <x:v>Single retained term; no within-family aggregation.</x:v>
      </x:c>
    </x:row>
    <x:row r="24">
      <x:c r="A24" s="65" t="str">
        <x:v>Investigation and bug triage</x:v>
      </x:c>
      <x:c r="B24" s="65" t="str">
        <x:v>Bug triage and backlog</x:v>
      </x:c>
      <x:c r="C24" s="59" t="n">
        <x:f>COUNTIFS('Clean Keywords'!$B$4:$B$209,$A24,'Clean Keywords'!$C$4:$C$209,$B24,'Clean Keywords'!$M$4:$M$209,"Include")</x:f>
        <x:v>5</x:v>
      </x:c>
      <x:c r="D24" s="59" t="n">
        <x:f>COUNTIFS('Clean Keywords'!$B$4:$B$209,$A24,'Clean Keywords'!$C$4:$C$209,$B24,'Clean Keywords'!$L$4:$L$209,"Exact learning query",'Clean Keywords'!$M$4:$M$209,"Include")</x:f>
        <x:v>4</x:v>
      </x:c>
      <x:c r="E24" s="59" t="n">
        <x:f>COUNTIFS('Clean Keywords'!$B$4:$B$209,$A24,'Clean Keywords'!$C$4:$C$209,$B24,'Clean Keywords'!$L$4:$L$209,"Exact learning query",'Clean Keywords'!$M$4:$M$209,"Include",'Clean Keywords'!$D$4:$D$209,"&gt;0")</x:f>
        <x:v>3</x:v>
      </x:c>
      <x:c r="F24" s="59" t="n">
        <x:f>COUNTIFS('Clean Keywords'!$B$4:$B$209,$A24,'Clean Keywords'!$C$4:$C$209,$B24,'Clean Keywords'!$L$4:$L$209,"Exact learning query",'Clean Keywords'!$M$4:$M$209,"Include",'Clean Keywords'!$E$4:$E$209,"&gt;0")</x:f>
        <x:v>0</x:v>
      </x:c>
      <x:c r="G24" s="59" t="n">
        <x:f>MAXIFS('Clean Keywords'!$D$4:$D$209,'Clean Keywords'!$B$4:$B$209,$A24,'Clean Keywords'!$C$4:$C$209,$B24,'Clean Keywords'!$L$4:$L$209,"Exact learning query",'Clean Keywords'!$M$4:$M$209,"Include")</x:f>
        <x:v>20</x:v>
      </x:c>
      <x:c r="H24" s="65" t="str">
        <x:v>what is bug triage meeting</x:v>
      </x:c>
      <x:c r="I24" s="67" t="n">
        <x:f>MAXIFS('Clean Keywords'!$E$4:$E$209,'Clean Keywords'!$B$4:$B$209,$A24,'Clean Keywords'!$C$4:$C$209,$B24,'Clean Keywords'!$L$4:$L$209,"Exact learning query",'Clean Keywords'!$M$4:$M$209,"Include")</x:f>
        <x:v>0</x:v>
      </x:c>
      <x:c r="J24" s="65" t="str">
        <x:v>what is bug triage meeting</x:v>
      </x:c>
      <x:c r="K24" s="67" t="n">
        <x:f>MAXIFS('Clean Keywords'!$D$4:$D$209,'Clean Keywords'!$B$4:$B$209,$A24,'Clean Keywords'!$C$4:$C$209,$B24,'Clean Keywords'!$L$4:$L$209,"Broad category term",'Clean Keywords'!$M$4:$M$209,"Include")</x:f>
        <x:v>0</x:v>
      </x:c>
      <x:c r="L24" s="65" t="str">
        <x:v>—</x:v>
      </x:c>
      <x:c r="M24" s="67" t="n">
        <x:f>MAXIFS('Clean Keywords'!$E$4:$E$209,'Clean Keywords'!$B$4:$B$209,$A24,'Clean Keywords'!$C$4:$C$209,$B24,'Clean Keywords'!$L$4:$L$209,"Broad category term",'Clean Keywords'!$M$4:$M$209,"Include")</x:f>
        <x:v>0</x:v>
      </x:c>
      <x:c r="N24" s="65" t="str">
        <x:v>—</x:v>
      </x:c>
      <x:c r="O24" s="67" t="n">
        <x:f>MAXIFS('Clean Keywords'!$D$4:$D$209,'Clean Keywords'!$B$4:$B$209,$A24,'Clean Keywords'!$C$4:$C$209,$B24,'Clean Keywords'!$L$4:$L$209,"Specific concept term",'Clean Keywords'!$M$4:$M$209,"Include")</x:f>
        <x:v>30</x:v>
      </x:c>
      <x:c r="P24" s="65" t="str">
        <x:v>bug triage process</x:v>
      </x:c>
      <x:c r="Q24" s="65" t="str">
        <x:v>5 variants/terms share this intent; volumes are shown individually and not summed.</x:v>
      </x:c>
    </x:row>
    <x:row r="25">
      <x:c r="A25" s="65" t="str">
        <x:v>Feasibility, technical debt and trade-offs</x:v>
      </x:c>
      <x:c r="B25" s="65" t="str">
        <x:v>Buy-versus-build trade-off</x:v>
      </x:c>
      <x:c r="C25" s="59" t="n">
        <x:f>COUNTIFS('Clean Keywords'!$B$4:$B$209,$A25,'Clean Keywords'!$C$4:$C$209,$B25,'Clean Keywords'!$M$4:$M$209,"Include")</x:f>
        <x:v>1</x:v>
      </x:c>
      <x:c r="D25" s="59" t="n">
        <x:f>COUNTIFS('Clean Keywords'!$B$4:$B$209,$A25,'Clean Keywords'!$C$4:$C$209,$B25,'Clean Keywords'!$L$4:$L$209,"Exact learning query",'Clean Keywords'!$M$4:$M$209,"Include")</x:f>
        <x:v>1</x:v>
      </x:c>
      <x:c r="E25" s="59" t="n">
        <x:f>COUNTIFS('Clean Keywords'!$B$4:$B$209,$A25,'Clean Keywords'!$C$4:$C$209,$B25,'Clean Keywords'!$L$4:$L$209,"Exact learning query",'Clean Keywords'!$M$4:$M$209,"Include",'Clean Keywords'!$D$4:$D$209,"&gt;0")</x:f>
        <x:v>1</x:v>
      </x:c>
      <x:c r="F25" s="59" t="n">
        <x:f>COUNTIFS('Clean Keywords'!$B$4:$B$209,$A25,'Clean Keywords'!$C$4:$C$209,$B25,'Clean Keywords'!$L$4:$L$209,"Exact learning query",'Clean Keywords'!$M$4:$M$209,"Include",'Clean Keywords'!$E$4:$E$209,"&gt;0")</x:f>
        <x:v>1</x:v>
      </x:c>
      <x:c r="G25" s="59" t="n">
        <x:f>MAXIFS('Clean Keywords'!$D$4:$D$209,'Clean Keywords'!$B$4:$B$209,$A25,'Clean Keywords'!$C$4:$C$209,$B25,'Clean Keywords'!$L$4:$L$209,"Exact learning query",'Clean Keywords'!$M$4:$M$209,"Include")</x:f>
        <x:v>20</x:v>
      </x:c>
      <x:c r="H25" s="65" t="str">
        <x:v>buy vs build software pros and cons</x:v>
      </x:c>
      <x:c r="I25" s="67" t="n">
        <x:f>MAXIFS('Clean Keywords'!$E$4:$E$209,'Clean Keywords'!$B$4:$B$209,$A25,'Clean Keywords'!$C$4:$C$209,$B25,'Clean Keywords'!$L$4:$L$209,"Exact learning query",'Clean Keywords'!$M$4:$M$209,"Include")</x:f>
        <x:v>10</x:v>
      </x:c>
      <x:c r="J25" s="65" t="str">
        <x:v>buy vs build software pros and cons</x:v>
      </x:c>
      <x:c r="K25" s="67" t="n">
        <x:f>MAXIFS('Clean Keywords'!$D$4:$D$209,'Clean Keywords'!$B$4:$B$209,$A25,'Clean Keywords'!$C$4:$C$209,$B25,'Clean Keywords'!$L$4:$L$209,"Broad category term",'Clean Keywords'!$M$4:$M$209,"Include")</x:f>
        <x:v>0</x:v>
      </x:c>
      <x:c r="L25" s="65" t="str">
        <x:v>—</x:v>
      </x:c>
      <x:c r="M25" s="67" t="n">
        <x:f>MAXIFS('Clean Keywords'!$E$4:$E$209,'Clean Keywords'!$B$4:$B$209,$A25,'Clean Keywords'!$C$4:$C$209,$B25,'Clean Keywords'!$L$4:$L$209,"Broad category term",'Clean Keywords'!$M$4:$M$209,"Include")</x:f>
        <x:v>0</x:v>
      </x:c>
      <x:c r="N25" s="65" t="str">
        <x:v>—</x:v>
      </x:c>
      <x:c r="O25" s="67" t="n">
        <x:f>MAXIFS('Clean Keywords'!$D$4:$D$209,'Clean Keywords'!$B$4:$B$209,$A25,'Clean Keywords'!$C$4:$C$209,$B25,'Clean Keywords'!$L$4:$L$209,"Specific concept term",'Clean Keywords'!$M$4:$M$209,"Include")</x:f>
        <x:v>0</x:v>
      </x:c>
      <x:c r="P25" s="65" t="str">
        <x:v>—</x:v>
      </x:c>
      <x:c r="Q25" s="65" t="str">
        <x:v>Single retained term; no within-family aggregation.</x:v>
      </x:c>
    </x:row>
    <x:row r="26">
      <x:c r="A26" s="65" t="str">
        <x:v>Feasibility, technical debt and trade-offs</x:v>
      </x:c>
      <x:c r="B26" s="65" t="str">
        <x:v>MVP, prototype and POC distinctions</x:v>
      </x:c>
      <x:c r="C26" s="59" t="n">
        <x:f>COUNTIFS('Clean Keywords'!$B$4:$B$209,$A26,'Clean Keywords'!$C$4:$C$209,$B26,'Clean Keywords'!$M$4:$M$209,"Include")</x:f>
        <x:v>2</x:v>
      </x:c>
      <x:c r="D26" s="59" t="n">
        <x:f>COUNTIFS('Clean Keywords'!$B$4:$B$209,$A26,'Clean Keywords'!$C$4:$C$209,$B26,'Clean Keywords'!$L$4:$L$209,"Exact learning query",'Clean Keywords'!$M$4:$M$209,"Include")</x:f>
        <x:v>1</x:v>
      </x:c>
      <x:c r="E26" s="59" t="n">
        <x:f>COUNTIFS('Clean Keywords'!$B$4:$B$209,$A26,'Clean Keywords'!$C$4:$C$209,$B26,'Clean Keywords'!$L$4:$L$209,"Exact learning query",'Clean Keywords'!$M$4:$M$209,"Include",'Clean Keywords'!$D$4:$D$209,"&gt;0")</x:f>
        <x:v>1</x:v>
      </x:c>
      <x:c r="F26" s="59" t="n">
        <x:f>COUNTIFS('Clean Keywords'!$B$4:$B$209,$A26,'Clean Keywords'!$C$4:$C$209,$B26,'Clean Keywords'!$L$4:$L$209,"Exact learning query",'Clean Keywords'!$M$4:$M$209,"Include",'Clean Keywords'!$E$4:$E$209,"&gt;0")</x:f>
        <x:v>1</x:v>
      </x:c>
      <x:c r="G26" s="59" t="n">
        <x:f>MAXIFS('Clean Keywords'!$D$4:$D$209,'Clean Keywords'!$B$4:$B$209,$A26,'Clean Keywords'!$C$4:$C$209,$B26,'Clean Keywords'!$L$4:$L$209,"Exact learning query",'Clean Keywords'!$M$4:$M$209,"Include")</x:f>
        <x:v>50</x:v>
      </x:c>
      <x:c r="H26" s="65" t="str">
        <x:v>mvp vs prototype vs poc</x:v>
      </x:c>
      <x:c r="I26" s="67" t="n">
        <x:f>MAXIFS('Clean Keywords'!$E$4:$E$209,'Clean Keywords'!$B$4:$B$209,$A26,'Clean Keywords'!$C$4:$C$209,$B26,'Clean Keywords'!$L$4:$L$209,"Exact learning query",'Clean Keywords'!$M$4:$M$209,"Include")</x:f>
        <x:v>20</x:v>
      </x:c>
      <x:c r="J26" s="65" t="str">
        <x:v>mvp vs prototype vs poc</x:v>
      </x:c>
      <x:c r="K26" s="67" t="n">
        <x:f>MAXIFS('Clean Keywords'!$D$4:$D$209,'Clean Keywords'!$B$4:$B$209,$A26,'Clean Keywords'!$C$4:$C$209,$B26,'Clean Keywords'!$L$4:$L$209,"Broad category term",'Clean Keywords'!$M$4:$M$209,"Include")</x:f>
        <x:v>6600</x:v>
      </x:c>
      <x:c r="L26" s="65" t="str">
        <x:v>minimum viable product</x:v>
      </x:c>
      <x:c r="M26" s="67" t="n">
        <x:f>MAXIFS('Clean Keywords'!$E$4:$E$209,'Clean Keywords'!$B$4:$B$209,$A26,'Clean Keywords'!$C$4:$C$209,$B26,'Clean Keywords'!$L$4:$L$209,"Broad category term",'Clean Keywords'!$M$4:$M$209,"Include")</x:f>
        <x:v>1600</x:v>
      </x:c>
      <x:c r="N26" s="65" t="str">
        <x:v>minimum viable product</x:v>
      </x:c>
      <x:c r="O26" s="67" t="n">
        <x:f>MAXIFS('Clean Keywords'!$D$4:$D$209,'Clean Keywords'!$B$4:$B$209,$A26,'Clean Keywords'!$C$4:$C$209,$B26,'Clean Keywords'!$L$4:$L$209,"Specific concept term",'Clean Keywords'!$M$4:$M$209,"Include")</x:f>
        <x:v>0</x:v>
      </x:c>
      <x:c r="P26" s="65" t="str">
        <x:v>—</x:v>
      </x:c>
      <x:c r="Q26" s="65" t="str">
        <x:v>2 variants/terms share this intent; volumes are shown individually and not summed.</x:v>
      </x:c>
    </x:row>
    <x:row r="27">
      <x:c r="A27" s="65" t="str">
        <x:v>Feasibility, technical debt and trade-offs</x:v>
      </x:c>
      <x:c r="B27" s="65" t="str">
        <x:v>Prototype-to-production boundary</x:v>
      </x:c>
      <x:c r="C27" s="59" t="n">
        <x:f>COUNTIFS('Clean Keywords'!$B$4:$B$209,$A27,'Clean Keywords'!$C$4:$C$209,$B27,'Clean Keywords'!$M$4:$M$209,"Include")</x:f>
        <x:v>1</x:v>
      </x:c>
      <x:c r="D27" s="59" t="n">
        <x:f>COUNTIFS('Clean Keywords'!$B$4:$B$209,$A27,'Clean Keywords'!$C$4:$C$209,$B27,'Clean Keywords'!$L$4:$L$209,"Exact learning query",'Clean Keywords'!$M$4:$M$209,"Include")</x:f>
        <x:v>1</x:v>
      </x:c>
      <x:c r="E27" s="59" t="n">
        <x:f>COUNTIFS('Clean Keywords'!$B$4:$B$209,$A27,'Clean Keywords'!$C$4:$C$209,$B27,'Clean Keywords'!$L$4:$L$209,"Exact learning query",'Clean Keywords'!$M$4:$M$209,"Include",'Clean Keywords'!$D$4:$D$209,"&gt;0")</x:f>
        <x:v>0</x:v>
      </x:c>
      <x:c r="F27" s="59" t="n">
        <x:f>COUNTIFS('Clean Keywords'!$B$4:$B$209,$A27,'Clean Keywords'!$C$4:$C$209,$B27,'Clean Keywords'!$L$4:$L$209,"Exact learning query",'Clean Keywords'!$M$4:$M$209,"Include",'Clean Keywords'!$E$4:$E$209,"&gt;0")</x:f>
        <x:v>0</x:v>
      </x:c>
      <x:c r="G27" s="59" t="n">
        <x:f>MAXIFS('Clean Keywords'!$D$4:$D$209,'Clean Keywords'!$B$4:$B$209,$A27,'Clean Keywords'!$C$4:$C$209,$B27,'Clean Keywords'!$L$4:$L$209,"Exact learning query",'Clean Keywords'!$M$4:$M$209,"Include")</x:f>
        <x:v>0</x:v>
      </x:c>
      <x:c r="H27" s="65" t="str">
        <x:v>—</x:v>
      </x:c>
      <x:c r="I27" s="67" t="n">
        <x:f>MAXIFS('Clean Keywords'!$E$4:$E$209,'Clean Keywords'!$B$4:$B$209,$A27,'Clean Keywords'!$C$4:$C$209,$B27,'Clean Keywords'!$L$4:$L$209,"Exact learning query",'Clean Keywords'!$M$4:$M$209,"Include")</x:f>
        <x:v>0</x:v>
      </x:c>
      <x:c r="J27" s="65" t="str">
        <x:v>—</x:v>
      </x:c>
      <x:c r="K27" s="67" t="n">
        <x:f>MAXIFS('Clean Keywords'!$D$4:$D$209,'Clean Keywords'!$B$4:$B$209,$A27,'Clean Keywords'!$C$4:$C$209,$B27,'Clean Keywords'!$L$4:$L$209,"Broad category term",'Clean Keywords'!$M$4:$M$209,"Include")</x:f>
        <x:v>0</x:v>
      </x:c>
      <x:c r="L27" s="65" t="str">
        <x:v>—</x:v>
      </x:c>
      <x:c r="M27" s="67" t="n">
        <x:f>MAXIFS('Clean Keywords'!$E$4:$E$209,'Clean Keywords'!$B$4:$B$209,$A27,'Clean Keywords'!$C$4:$C$209,$B27,'Clean Keywords'!$L$4:$L$209,"Broad category term",'Clean Keywords'!$M$4:$M$209,"Include")</x:f>
        <x:v>0</x:v>
      </x:c>
      <x:c r="N27" s="65" t="str">
        <x:v>—</x:v>
      </x:c>
      <x:c r="O27" s="67" t="n">
        <x:f>MAXIFS('Clean Keywords'!$D$4:$D$209,'Clean Keywords'!$B$4:$B$209,$A27,'Clean Keywords'!$C$4:$C$209,$B27,'Clean Keywords'!$L$4:$L$209,"Specific concept term",'Clean Keywords'!$M$4:$M$209,"Include")</x:f>
        <x:v>0</x:v>
      </x:c>
      <x:c r="P27" s="65" t="str">
        <x:v>—</x:v>
      </x:c>
      <x:c r="Q27" s="65" t="str">
        <x:v>Single retained term; no within-family aggregation.</x:v>
      </x:c>
    </x:row>
    <x:row r="28">
      <x:c r="A28" s="65" t="str">
        <x:v>Feasibility, technical debt and trade-offs</x:v>
      </x:c>
      <x:c r="B28" s="65" t="str">
        <x:v>Technical-debt basics</x:v>
      </x:c>
      <x:c r="C28" s="59" t="n">
        <x:f>COUNTIFS('Clean Keywords'!$B$4:$B$209,$A28,'Clean Keywords'!$C$4:$C$209,$B28,'Clean Keywords'!$M$4:$M$209,"Include")</x:f>
        <x:v>13</x:v>
      </x:c>
      <x:c r="D28" s="59" t="n">
        <x:f>COUNTIFS('Clean Keywords'!$B$4:$B$209,$A28,'Clean Keywords'!$C$4:$C$209,$B28,'Clean Keywords'!$L$4:$L$209,"Exact learning query",'Clean Keywords'!$M$4:$M$209,"Include")</x:f>
        <x:v>10</x:v>
      </x:c>
      <x:c r="E28" s="59" t="n">
        <x:f>COUNTIFS('Clean Keywords'!$B$4:$B$209,$A28,'Clean Keywords'!$C$4:$C$209,$B28,'Clean Keywords'!$L$4:$L$209,"Exact learning query",'Clean Keywords'!$M$4:$M$209,"Include",'Clean Keywords'!$D$4:$D$209,"&gt;0")</x:f>
        <x:v>8</x:v>
      </x:c>
      <x:c r="F28" s="59" t="n">
        <x:f>COUNTIFS('Clean Keywords'!$B$4:$B$209,$A28,'Clean Keywords'!$C$4:$C$209,$B28,'Clean Keywords'!$L$4:$L$209,"Exact learning query",'Clean Keywords'!$M$4:$M$209,"Include",'Clean Keywords'!$E$4:$E$209,"&gt;0")</x:f>
        <x:v>8</x:v>
      </x:c>
      <x:c r="G28" s="59" t="n">
        <x:f>MAXIFS('Clean Keywords'!$D$4:$D$209,'Clean Keywords'!$B$4:$B$209,$A28,'Clean Keywords'!$C$4:$C$209,$B28,'Clean Keywords'!$L$4:$L$209,"Exact learning query",'Clean Keywords'!$M$4:$M$209,"Include")</x:f>
        <x:v>2900</x:v>
      </x:c>
      <x:c r="H28" s="65" t="str">
        <x:v>what is tech debt</x:v>
      </x:c>
      <x:c r="I28" s="67" t="n">
        <x:f>MAXIFS('Clean Keywords'!$E$4:$E$209,'Clean Keywords'!$B$4:$B$209,$A28,'Clean Keywords'!$C$4:$C$209,$B28,'Clean Keywords'!$L$4:$L$209,"Exact learning query",'Clean Keywords'!$M$4:$M$209,"Include")</x:f>
        <x:v>720</x:v>
      </x:c>
      <x:c r="J28" s="65" t="str">
        <x:v>what is technical debt</x:v>
      </x:c>
      <x:c r="K28" s="67" t="n">
        <x:f>MAXIFS('Clean Keywords'!$D$4:$D$209,'Clean Keywords'!$B$4:$B$209,$A28,'Clean Keywords'!$C$4:$C$209,$B28,'Clean Keywords'!$L$4:$L$209,"Broad category term",'Clean Keywords'!$M$4:$M$209,"Include")</x:f>
        <x:v>5400</x:v>
      </x:c>
      <x:c r="L28" s="65" t="str">
        <x:v>technical debt</x:v>
      </x:c>
      <x:c r="M28" s="67" t="n">
        <x:f>MAXIFS('Clean Keywords'!$E$4:$E$209,'Clean Keywords'!$B$4:$B$209,$A28,'Clean Keywords'!$C$4:$C$209,$B28,'Clean Keywords'!$L$4:$L$209,"Broad category term",'Clean Keywords'!$M$4:$M$209,"Include")</x:f>
        <x:v>1600</x:v>
      </x:c>
      <x:c r="N28" s="65" t="str">
        <x:v>technical debt</x:v>
      </x:c>
      <x:c r="O28" s="67" t="n">
        <x:f>MAXIFS('Clean Keywords'!$D$4:$D$209,'Clean Keywords'!$B$4:$B$209,$A28,'Clean Keywords'!$C$4:$C$209,$B28,'Clean Keywords'!$L$4:$L$209,"Specific concept term",'Clean Keywords'!$M$4:$M$209,"Include")</x:f>
        <x:v>1300</x:v>
      </x:c>
      <x:c r="P28" s="65" t="str">
        <x:v>code debt</x:v>
      </x:c>
      <x:c r="Q28" s="65" t="str">
        <x:v>13 variants/terms share this intent; volumes are shown individually and not summed.</x:v>
      </x:c>
    </x:row>
    <x:row r="29">
      <x:c r="A29" s="65" t="str">
        <x:v>Feasibility, technical debt and trade-offs</x:v>
      </x:c>
      <x:c r="B29" s="65" t="str">
        <x:v>Technical-debt decisions</x:v>
      </x:c>
      <x:c r="C29" s="59" t="n">
        <x:f>COUNTIFS('Clean Keywords'!$B$4:$B$209,$A29,'Clean Keywords'!$C$4:$C$209,$B29,'Clean Keywords'!$M$4:$M$209,"Include")</x:f>
        <x:v>2</x:v>
      </x:c>
      <x:c r="D29" s="59" t="n">
        <x:f>COUNTIFS('Clean Keywords'!$B$4:$B$209,$A29,'Clean Keywords'!$C$4:$C$209,$B29,'Clean Keywords'!$L$4:$L$209,"Exact learning query",'Clean Keywords'!$M$4:$M$209,"Include")</x:f>
        <x:v>1</x:v>
      </x:c>
      <x:c r="E29" s="59" t="n">
        <x:f>COUNTIFS('Clean Keywords'!$B$4:$B$209,$A29,'Clean Keywords'!$C$4:$C$209,$B29,'Clean Keywords'!$L$4:$L$209,"Exact learning query",'Clean Keywords'!$M$4:$M$209,"Include",'Clean Keywords'!$D$4:$D$209,"&gt;0")</x:f>
        <x:v>1</x:v>
      </x:c>
      <x:c r="F29" s="59" t="n">
        <x:f>COUNTIFS('Clean Keywords'!$B$4:$B$209,$A29,'Clean Keywords'!$C$4:$C$209,$B29,'Clean Keywords'!$L$4:$L$209,"Exact learning query",'Clean Keywords'!$M$4:$M$209,"Include",'Clean Keywords'!$E$4:$E$209,"&gt;0")</x:f>
        <x:v>1</x:v>
      </x:c>
      <x:c r="G29" s="59" t="n">
        <x:f>MAXIFS('Clean Keywords'!$D$4:$D$209,'Clean Keywords'!$B$4:$B$209,$A29,'Clean Keywords'!$C$4:$C$209,$B29,'Clean Keywords'!$L$4:$L$209,"Exact learning query",'Clean Keywords'!$M$4:$M$209,"Include")</x:f>
        <x:v>20</x:v>
      </x:c>
      <x:c r="H29" s="65" t="str">
        <x:v>How much technical debt is acceptable?</x:v>
      </x:c>
      <x:c r="I29" s="67" t="n">
        <x:f>MAXIFS('Clean Keywords'!$E$4:$E$209,'Clean Keywords'!$B$4:$B$209,$A29,'Clean Keywords'!$C$4:$C$209,$B29,'Clean Keywords'!$L$4:$L$209,"Exact learning query",'Clean Keywords'!$M$4:$M$209,"Include")</x:f>
        <x:v>10</x:v>
      </x:c>
      <x:c r="J29" s="65" t="str">
        <x:v>How much technical debt is acceptable?</x:v>
      </x:c>
      <x:c r="K29" s="67" t="n">
        <x:f>MAXIFS('Clean Keywords'!$D$4:$D$209,'Clean Keywords'!$B$4:$B$209,$A29,'Clean Keywords'!$C$4:$C$209,$B29,'Clean Keywords'!$L$4:$L$209,"Broad category term",'Clean Keywords'!$M$4:$M$209,"Include")</x:f>
        <x:v>0</x:v>
      </x:c>
      <x:c r="L29" s="65" t="str">
        <x:v>—</x:v>
      </x:c>
      <x:c r="M29" s="67" t="n">
        <x:f>MAXIFS('Clean Keywords'!$E$4:$E$209,'Clean Keywords'!$B$4:$B$209,$A29,'Clean Keywords'!$C$4:$C$209,$B29,'Clean Keywords'!$L$4:$L$209,"Broad category term",'Clean Keywords'!$M$4:$M$209,"Include")</x:f>
        <x:v>0</x:v>
      </x:c>
      <x:c r="N29" s="65" t="str">
        <x:v>—</x:v>
      </x:c>
      <x:c r="O29" s="67" t="n">
        <x:f>MAXIFS('Clean Keywords'!$D$4:$D$209,'Clean Keywords'!$B$4:$B$209,$A29,'Clean Keywords'!$C$4:$C$209,$B29,'Clean Keywords'!$L$4:$L$209,"Specific concept term",'Clean Keywords'!$M$4:$M$209,"Include")</x:f>
        <x:v>590</x:v>
      </x:c>
      <x:c r="P29" s="65" t="str">
        <x:v>tech debt quadrant</x:v>
      </x:c>
      <x:c r="Q29" s="65" t="str">
        <x:v>2 variants/terms share this intent; volumes are shown individually and not summed.</x:v>
      </x:c>
    </x:row>
    <x:row r="30">
      <x:c r="A30" s="65" t="str">
        <x:v>AI-assisted prototyping/building</x:v>
      </x:c>
      <x:c r="B30" s="65" t="str">
        <x:v>AI app building without coding</x:v>
      </x:c>
      <x:c r="C30" s="59" t="n">
        <x:f>COUNTIFS('Clean Keywords'!$B$4:$B$209,$A30,'Clean Keywords'!$C$4:$C$209,$B30,'Clean Keywords'!$M$4:$M$209,"Include")</x:f>
        <x:v>3</x:v>
      </x:c>
      <x:c r="D30" s="59" t="n">
        <x:f>COUNTIFS('Clean Keywords'!$B$4:$B$209,$A30,'Clean Keywords'!$C$4:$C$209,$B30,'Clean Keywords'!$L$4:$L$209,"Exact learning query",'Clean Keywords'!$M$4:$M$209,"Include")</x:f>
        <x:v>3</x:v>
      </x:c>
      <x:c r="E30" s="59" t="n">
        <x:f>COUNTIFS('Clean Keywords'!$B$4:$B$209,$A30,'Clean Keywords'!$C$4:$C$209,$B30,'Clean Keywords'!$L$4:$L$209,"Exact learning query",'Clean Keywords'!$M$4:$M$209,"Include",'Clean Keywords'!$D$4:$D$209,"&gt;0")</x:f>
        <x:v>0</x:v>
      </x:c>
      <x:c r="F30" s="59" t="n">
        <x:f>COUNTIFS('Clean Keywords'!$B$4:$B$209,$A30,'Clean Keywords'!$C$4:$C$209,$B30,'Clean Keywords'!$L$4:$L$209,"Exact learning query",'Clean Keywords'!$M$4:$M$209,"Include",'Clean Keywords'!$E$4:$E$209,"&gt;0")</x:f>
        <x:v>0</x:v>
      </x:c>
      <x:c r="G30" s="59" t="n">
        <x:f>MAXIFS('Clean Keywords'!$D$4:$D$209,'Clean Keywords'!$B$4:$B$209,$A30,'Clean Keywords'!$C$4:$C$209,$B30,'Clean Keywords'!$L$4:$L$209,"Exact learning query",'Clean Keywords'!$M$4:$M$209,"Include")</x:f>
        <x:v>0</x:v>
      </x:c>
      <x:c r="H30" s="65" t="str">
        <x:v>how to use ai tools without coding for beginners</x:v>
      </x:c>
      <x:c r="I30" s="67" t="n">
        <x:f>MAXIFS('Clean Keywords'!$E$4:$E$209,'Clean Keywords'!$B$4:$B$209,$A30,'Clean Keywords'!$C$4:$C$209,$B30,'Clean Keywords'!$L$4:$L$209,"Exact learning query",'Clean Keywords'!$M$4:$M$209,"Include")</x:f>
        <x:v>0</x:v>
      </x:c>
      <x:c r="J30" s="65" t="str">
        <x:v>—</x:v>
      </x:c>
      <x:c r="K30" s="67" t="n">
        <x:f>MAXIFS('Clean Keywords'!$D$4:$D$209,'Clean Keywords'!$B$4:$B$209,$A30,'Clean Keywords'!$C$4:$C$209,$B30,'Clean Keywords'!$L$4:$L$209,"Broad category term",'Clean Keywords'!$M$4:$M$209,"Include")</x:f>
        <x:v>0</x:v>
      </x:c>
      <x:c r="L30" s="65" t="str">
        <x:v>—</x:v>
      </x:c>
      <x:c r="M30" s="67" t="n">
        <x:f>MAXIFS('Clean Keywords'!$E$4:$E$209,'Clean Keywords'!$B$4:$B$209,$A30,'Clean Keywords'!$C$4:$C$209,$B30,'Clean Keywords'!$L$4:$L$209,"Broad category term",'Clean Keywords'!$M$4:$M$209,"Include")</x:f>
        <x:v>0</x:v>
      </x:c>
      <x:c r="N30" s="65" t="str">
        <x:v>—</x:v>
      </x:c>
      <x:c r="O30" s="67" t="n">
        <x:f>MAXIFS('Clean Keywords'!$D$4:$D$209,'Clean Keywords'!$B$4:$B$209,$A30,'Clean Keywords'!$C$4:$C$209,$B30,'Clean Keywords'!$L$4:$L$209,"Specific concept term",'Clean Keywords'!$M$4:$M$209,"Include")</x:f>
        <x:v>0</x:v>
      </x:c>
      <x:c r="P30" s="65" t="str">
        <x:v>—</x:v>
      </x:c>
      <x:c r="Q30" s="65" t="str">
        <x:v>3 variants/terms share this intent; volumes are shown individually and not summed.</x:v>
      </x:c>
    </x:row>
    <x:row r="31">
      <x:c r="A31" s="65" t="str">
        <x:v>AI-assisted prototyping/building</x:v>
      </x:c>
      <x:c r="B31" s="65" t="str">
        <x:v>AI coding tools for beginners</x:v>
      </x:c>
      <x:c r="C31" s="59" t="n">
        <x:f>COUNTIFS('Clean Keywords'!$B$4:$B$209,$A31,'Clean Keywords'!$C$4:$C$209,$B31,'Clean Keywords'!$M$4:$M$209,"Include")</x:f>
        <x:v>2</x:v>
      </x:c>
      <x:c r="D31" s="59" t="n">
        <x:f>COUNTIFS('Clean Keywords'!$B$4:$B$209,$A31,'Clean Keywords'!$C$4:$C$209,$B31,'Clean Keywords'!$L$4:$L$209,"Exact learning query",'Clean Keywords'!$M$4:$M$209,"Include")</x:f>
        <x:v>2</x:v>
      </x:c>
      <x:c r="E31" s="59" t="n">
        <x:f>COUNTIFS('Clean Keywords'!$B$4:$B$209,$A31,'Clean Keywords'!$C$4:$C$209,$B31,'Clean Keywords'!$L$4:$L$209,"Exact learning query",'Clean Keywords'!$M$4:$M$209,"Include",'Clean Keywords'!$D$4:$D$209,"&gt;0")</x:f>
        <x:v>1</x:v>
      </x:c>
      <x:c r="F31" s="59" t="n">
        <x:f>COUNTIFS('Clean Keywords'!$B$4:$B$209,$A31,'Clean Keywords'!$C$4:$C$209,$B31,'Clean Keywords'!$L$4:$L$209,"Exact learning query",'Clean Keywords'!$M$4:$M$209,"Include",'Clean Keywords'!$E$4:$E$209,"&gt;0")</x:f>
        <x:v>0</x:v>
      </x:c>
      <x:c r="G31" s="59" t="n">
        <x:f>MAXIFS('Clean Keywords'!$D$4:$D$209,'Clean Keywords'!$B$4:$B$209,$A31,'Clean Keywords'!$C$4:$C$209,$B31,'Clean Keywords'!$L$4:$L$209,"Exact learning query",'Clean Keywords'!$M$4:$M$209,"Include")</x:f>
        <x:v>10</x:v>
      </x:c>
      <x:c r="H31" s="65" t="str">
        <x:v>ai coding tools for beginners</x:v>
      </x:c>
      <x:c r="I31" s="67" t="n">
        <x:f>MAXIFS('Clean Keywords'!$E$4:$E$209,'Clean Keywords'!$B$4:$B$209,$A31,'Clean Keywords'!$C$4:$C$209,$B31,'Clean Keywords'!$L$4:$L$209,"Exact learning query",'Clean Keywords'!$M$4:$M$209,"Include")</x:f>
        <x:v>0</x:v>
      </x:c>
      <x:c r="J31" s="65" t="str">
        <x:v>ai coding tools for beginners</x:v>
      </x:c>
      <x:c r="K31" s="67" t="n">
        <x:f>MAXIFS('Clean Keywords'!$D$4:$D$209,'Clean Keywords'!$B$4:$B$209,$A31,'Clean Keywords'!$C$4:$C$209,$B31,'Clean Keywords'!$L$4:$L$209,"Broad category term",'Clean Keywords'!$M$4:$M$209,"Include")</x:f>
        <x:v>0</x:v>
      </x:c>
      <x:c r="L31" s="65" t="str">
        <x:v>—</x:v>
      </x:c>
      <x:c r="M31" s="67" t="n">
        <x:f>MAXIFS('Clean Keywords'!$E$4:$E$209,'Clean Keywords'!$B$4:$B$209,$A31,'Clean Keywords'!$C$4:$C$209,$B31,'Clean Keywords'!$L$4:$L$209,"Broad category term",'Clean Keywords'!$M$4:$M$209,"Include")</x:f>
        <x:v>0</x:v>
      </x:c>
      <x:c r="N31" s="65" t="str">
        <x:v>—</x:v>
      </x:c>
      <x:c r="O31" s="67" t="n">
        <x:f>MAXIFS('Clean Keywords'!$D$4:$D$209,'Clean Keywords'!$B$4:$B$209,$A31,'Clean Keywords'!$C$4:$C$209,$B31,'Clean Keywords'!$L$4:$L$209,"Specific concept term",'Clean Keywords'!$M$4:$M$209,"Include")</x:f>
        <x:v>0</x:v>
      </x:c>
      <x:c r="P31" s="65" t="str">
        <x:v>—</x:v>
      </x:c>
      <x:c r="Q31" s="65" t="str">
        <x:v>2 variants/terms share this intent; volumes are shown individually and not summed.</x:v>
      </x:c>
    </x:row>
    <x:row r="32">
      <x:c r="A32" s="65" t="str">
        <x:v>AI-assisted prototyping/building</x:v>
      </x:c>
      <x:c r="B32" s="65" t="str">
        <x:v>AI prototype-to-production boundary</x:v>
      </x:c>
      <x:c r="C32" s="59" t="n">
        <x:f>COUNTIFS('Clean Keywords'!$B$4:$B$209,$A32,'Clean Keywords'!$C$4:$C$209,$B32,'Clean Keywords'!$M$4:$M$209,"Include")</x:f>
        <x:v>1</x:v>
      </x:c>
      <x:c r="D32" s="59" t="n">
        <x:f>COUNTIFS('Clean Keywords'!$B$4:$B$209,$A32,'Clean Keywords'!$C$4:$C$209,$B32,'Clean Keywords'!$L$4:$L$209,"Exact learning query",'Clean Keywords'!$M$4:$M$209,"Include")</x:f>
        <x:v>0</x:v>
      </x:c>
      <x:c r="E32" s="59" t="n">
        <x:f>COUNTIFS('Clean Keywords'!$B$4:$B$209,$A32,'Clean Keywords'!$C$4:$C$209,$B32,'Clean Keywords'!$L$4:$L$209,"Exact learning query",'Clean Keywords'!$M$4:$M$209,"Include",'Clean Keywords'!$D$4:$D$209,"&gt;0")</x:f>
        <x:v>0</x:v>
      </x:c>
      <x:c r="F32" s="59" t="n">
        <x:f>COUNTIFS('Clean Keywords'!$B$4:$B$209,$A32,'Clean Keywords'!$C$4:$C$209,$B32,'Clean Keywords'!$L$4:$L$209,"Exact learning query",'Clean Keywords'!$M$4:$M$209,"Include",'Clean Keywords'!$E$4:$E$209,"&gt;0")</x:f>
        <x:v>0</x:v>
      </x:c>
      <x:c r="G32" s="59" t="n">
        <x:f>MAXIFS('Clean Keywords'!$D$4:$D$209,'Clean Keywords'!$B$4:$B$209,$A32,'Clean Keywords'!$C$4:$C$209,$B32,'Clean Keywords'!$L$4:$L$209,"Exact learning query",'Clean Keywords'!$M$4:$M$209,"Include")</x:f>
        <x:v>0</x:v>
      </x:c>
      <x:c r="H32" s="65" t="str">
        <x:v>—</x:v>
      </x:c>
      <x:c r="I32" s="67" t="n">
        <x:f>MAXIFS('Clean Keywords'!$E$4:$E$209,'Clean Keywords'!$B$4:$B$209,$A32,'Clean Keywords'!$C$4:$C$209,$B32,'Clean Keywords'!$L$4:$L$209,"Exact learning query",'Clean Keywords'!$M$4:$M$209,"Include")</x:f>
        <x:v>0</x:v>
      </x:c>
      <x:c r="J32" s="65" t="str">
        <x:v>—</x:v>
      </x:c>
      <x:c r="K32" s="67" t="n">
        <x:f>MAXIFS('Clean Keywords'!$D$4:$D$209,'Clean Keywords'!$B$4:$B$209,$A32,'Clean Keywords'!$C$4:$C$209,$B32,'Clean Keywords'!$L$4:$L$209,"Broad category term",'Clean Keywords'!$M$4:$M$209,"Include")</x:f>
        <x:v>0</x:v>
      </x:c>
      <x:c r="L32" s="65" t="str">
        <x:v>—</x:v>
      </x:c>
      <x:c r="M32" s="67" t="n">
        <x:f>MAXIFS('Clean Keywords'!$E$4:$E$209,'Clean Keywords'!$B$4:$B$209,$A32,'Clean Keywords'!$C$4:$C$209,$B32,'Clean Keywords'!$L$4:$L$209,"Broad category term",'Clean Keywords'!$M$4:$M$209,"Include")</x:f>
        <x:v>0</x:v>
      </x:c>
      <x:c r="N32" s="65" t="str">
        <x:v>—</x:v>
      </x:c>
      <x:c r="O32" s="67" t="n">
        <x:f>MAXIFS('Clean Keywords'!$D$4:$D$209,'Clean Keywords'!$B$4:$B$209,$A32,'Clean Keywords'!$C$4:$C$209,$B32,'Clean Keywords'!$L$4:$L$209,"Specific concept term",'Clean Keywords'!$M$4:$M$209,"Include")</x:f>
        <x:v>0</x:v>
      </x:c>
      <x:c r="P32" s="65" t="str">
        <x:v>—</x:v>
      </x:c>
      <x:c r="Q32" s="65" t="str">
        <x:v>Single retained term; no within-family aggregation.</x:v>
      </x:c>
    </x:row>
    <x:row r="33">
      <x:c r="A33" s="65" t="str">
        <x:v>AI-assisted prototyping/building</x:v>
      </x:c>
      <x:c r="B33" s="65" t="str">
        <x:v>AI-assisted MVP building</x:v>
      </x:c>
      <x:c r="C33" s="59" t="n">
        <x:f>COUNTIFS('Clean Keywords'!$B$4:$B$209,$A33,'Clean Keywords'!$C$4:$C$209,$B33,'Clean Keywords'!$M$4:$M$209,"Include")</x:f>
        <x:v>4</x:v>
      </x:c>
      <x:c r="D33" s="59" t="n">
        <x:f>COUNTIFS('Clean Keywords'!$B$4:$B$209,$A33,'Clean Keywords'!$C$4:$C$209,$B33,'Clean Keywords'!$L$4:$L$209,"Exact learning query",'Clean Keywords'!$M$4:$M$209,"Include")</x:f>
        <x:v>4</x:v>
      </x:c>
      <x:c r="E33" s="59" t="n">
        <x:f>COUNTIFS('Clean Keywords'!$B$4:$B$209,$A33,'Clean Keywords'!$C$4:$C$209,$B33,'Clean Keywords'!$L$4:$L$209,"Exact learning query",'Clean Keywords'!$M$4:$M$209,"Include",'Clean Keywords'!$D$4:$D$209,"&gt;0")</x:f>
        <x:v>2</x:v>
      </x:c>
      <x:c r="F33" s="59" t="n">
        <x:f>COUNTIFS('Clean Keywords'!$B$4:$B$209,$A33,'Clean Keywords'!$C$4:$C$209,$B33,'Clean Keywords'!$L$4:$L$209,"Exact learning query",'Clean Keywords'!$M$4:$M$209,"Include",'Clean Keywords'!$E$4:$E$209,"&gt;0")</x:f>
        <x:v>2</x:v>
      </x:c>
      <x:c r="G33" s="59" t="n">
        <x:f>MAXIFS('Clean Keywords'!$D$4:$D$209,'Clean Keywords'!$B$4:$B$209,$A33,'Clean Keywords'!$C$4:$C$209,$B33,'Clean Keywords'!$L$4:$L$209,"Exact learning query",'Clean Keywords'!$M$4:$M$209,"Include")</x:f>
        <x:v>20</x:v>
      </x:c>
      <x:c r="H33" s="65" t="str">
        <x:v>build mvp with ai</x:v>
      </x:c>
      <x:c r="I33" s="67" t="n">
        <x:f>MAXIFS('Clean Keywords'!$E$4:$E$209,'Clean Keywords'!$B$4:$B$209,$A33,'Clean Keywords'!$C$4:$C$209,$B33,'Clean Keywords'!$L$4:$L$209,"Exact learning query",'Clean Keywords'!$M$4:$M$209,"Include")</x:f>
        <x:v>20</x:v>
      </x:c>
      <x:c r="J33" s="65" t="str">
        <x:v>build mvp with ai</x:v>
      </x:c>
      <x:c r="K33" s="67" t="n">
        <x:f>MAXIFS('Clean Keywords'!$D$4:$D$209,'Clean Keywords'!$B$4:$B$209,$A33,'Clean Keywords'!$C$4:$C$209,$B33,'Clean Keywords'!$L$4:$L$209,"Broad category term",'Clean Keywords'!$M$4:$M$209,"Include")</x:f>
        <x:v>0</x:v>
      </x:c>
      <x:c r="L33" s="65" t="str">
        <x:v>—</x:v>
      </x:c>
      <x:c r="M33" s="67" t="n">
        <x:f>MAXIFS('Clean Keywords'!$E$4:$E$209,'Clean Keywords'!$B$4:$B$209,$A33,'Clean Keywords'!$C$4:$C$209,$B33,'Clean Keywords'!$L$4:$L$209,"Broad category term",'Clean Keywords'!$M$4:$M$209,"Include")</x:f>
        <x:v>0</x:v>
      </x:c>
      <x:c r="N33" s="65" t="str">
        <x:v>—</x:v>
      </x:c>
      <x:c r="O33" s="67" t="n">
        <x:f>MAXIFS('Clean Keywords'!$D$4:$D$209,'Clean Keywords'!$B$4:$B$209,$A33,'Clean Keywords'!$C$4:$C$209,$B33,'Clean Keywords'!$L$4:$L$209,"Specific concept term",'Clean Keywords'!$M$4:$M$209,"Include")</x:f>
        <x:v>0</x:v>
      </x:c>
      <x:c r="P33" s="65" t="str">
        <x:v>—</x:v>
      </x:c>
      <x:c r="Q33" s="65" t="str">
        <x:v>4 variants/terms share this intent; volumes are shown individually and not summed.</x:v>
      </x:c>
    </x:row>
    <x:row r="34">
      <x:c r="A34" s="65" t="str">
        <x:v>AI-assisted prototyping/building</x:v>
      </x:c>
      <x:c r="B34" s="65" t="str">
        <x:v>Claude Code for non-technical users</x:v>
      </x:c>
      <x:c r="C34" s="59" t="n">
        <x:f>COUNTIFS('Clean Keywords'!$B$4:$B$209,$A34,'Clean Keywords'!$C$4:$C$209,$B34,'Clean Keywords'!$M$4:$M$209,"Include")</x:f>
        <x:v>3</x:v>
      </x:c>
      <x:c r="D34" s="59" t="n">
        <x:f>COUNTIFS('Clean Keywords'!$B$4:$B$209,$A34,'Clean Keywords'!$C$4:$C$209,$B34,'Clean Keywords'!$L$4:$L$209,"Exact learning query",'Clean Keywords'!$M$4:$M$209,"Include")</x:f>
        <x:v>1</x:v>
      </x:c>
      <x:c r="E34" s="59" t="n">
        <x:f>COUNTIFS('Clean Keywords'!$B$4:$B$209,$A34,'Clean Keywords'!$C$4:$C$209,$B34,'Clean Keywords'!$L$4:$L$209,"Exact learning query",'Clean Keywords'!$M$4:$M$209,"Include",'Clean Keywords'!$D$4:$D$209,"&gt;0")</x:f>
        <x:v>0</x:v>
      </x:c>
      <x:c r="F34" s="59" t="n">
        <x:f>COUNTIFS('Clean Keywords'!$B$4:$B$209,$A34,'Clean Keywords'!$C$4:$C$209,$B34,'Clean Keywords'!$L$4:$L$209,"Exact learning query",'Clean Keywords'!$M$4:$M$209,"Include",'Clean Keywords'!$E$4:$E$209,"&gt;0")</x:f>
        <x:v>0</x:v>
      </x:c>
      <x:c r="G34" s="59" t="n">
        <x:f>MAXIFS('Clean Keywords'!$D$4:$D$209,'Clean Keywords'!$B$4:$B$209,$A34,'Clean Keywords'!$C$4:$C$209,$B34,'Clean Keywords'!$L$4:$L$209,"Exact learning query",'Clean Keywords'!$M$4:$M$209,"Include")</x:f>
        <x:v>0</x:v>
      </x:c>
      <x:c r="H34" s="65" t="str">
        <x:v>—</x:v>
      </x:c>
      <x:c r="I34" s="67" t="n">
        <x:f>MAXIFS('Clean Keywords'!$E$4:$E$209,'Clean Keywords'!$B$4:$B$209,$A34,'Clean Keywords'!$C$4:$C$209,$B34,'Clean Keywords'!$L$4:$L$209,"Exact learning query",'Clean Keywords'!$M$4:$M$209,"Include")</x:f>
        <x:v>0</x:v>
      </x:c>
      <x:c r="J34" s="65" t="str">
        <x:v>—</x:v>
      </x:c>
      <x:c r="K34" s="67" t="n">
        <x:f>MAXIFS('Clean Keywords'!$D$4:$D$209,'Clean Keywords'!$B$4:$B$209,$A34,'Clean Keywords'!$C$4:$C$209,$B34,'Clean Keywords'!$L$4:$L$209,"Broad category term",'Clean Keywords'!$M$4:$M$209,"Include")</x:f>
        <x:v>0</x:v>
      </x:c>
      <x:c r="L34" s="65" t="str">
        <x:v>—</x:v>
      </x:c>
      <x:c r="M34" s="67" t="n">
        <x:f>MAXIFS('Clean Keywords'!$E$4:$E$209,'Clean Keywords'!$B$4:$B$209,$A34,'Clean Keywords'!$C$4:$C$209,$B34,'Clean Keywords'!$L$4:$L$209,"Broad category term",'Clean Keywords'!$M$4:$M$209,"Include")</x:f>
        <x:v>0</x:v>
      </x:c>
      <x:c r="N34" s="65" t="str">
        <x:v>—</x:v>
      </x:c>
      <x:c r="O34" s="67" t="n">
        <x:f>MAXIFS('Clean Keywords'!$D$4:$D$209,'Clean Keywords'!$B$4:$B$209,$A34,'Clean Keywords'!$C$4:$C$209,$B34,'Clean Keywords'!$L$4:$L$209,"Specific concept term",'Clean Keywords'!$M$4:$M$209,"Include")</x:f>
        <x:v>0</x:v>
      </x:c>
      <x:c r="P34" s="65" t="str">
        <x:v>—</x:v>
      </x:c>
      <x:c r="Q34" s="65" t="str">
        <x:v>3 variants/terms share this intent; volumes are shown individually and not summed.</x:v>
      </x:c>
    </x:row>
    <x:row r="35">
      <x:c r="A35" s="65" t="str">
        <x:v>AI-assisted prototyping/building</x:v>
      </x:c>
      <x:c r="B35" s="65" t="str">
        <x:v>GitHub for non-coders</x:v>
      </x:c>
      <x:c r="C35" s="59" t="n">
        <x:f>COUNTIFS('Clean Keywords'!$B$4:$B$209,$A35,'Clean Keywords'!$C$4:$C$209,$B35,'Clean Keywords'!$M$4:$M$209,"Include")</x:f>
        <x:v>1</x:v>
      </x:c>
      <x:c r="D35" s="59" t="n">
        <x:f>COUNTIFS('Clean Keywords'!$B$4:$B$209,$A35,'Clean Keywords'!$C$4:$C$209,$B35,'Clean Keywords'!$L$4:$L$209,"Exact learning query",'Clean Keywords'!$M$4:$M$209,"Include")</x:f>
        <x:v>1</x:v>
      </x:c>
      <x:c r="E35" s="59" t="n">
        <x:f>COUNTIFS('Clean Keywords'!$B$4:$B$209,$A35,'Clean Keywords'!$C$4:$C$209,$B35,'Clean Keywords'!$L$4:$L$209,"Exact learning query",'Clean Keywords'!$M$4:$M$209,"Include",'Clean Keywords'!$D$4:$D$209,"&gt;0")</x:f>
        <x:v>0</x:v>
      </x:c>
      <x:c r="F35" s="59" t="n">
        <x:f>COUNTIFS('Clean Keywords'!$B$4:$B$209,$A35,'Clean Keywords'!$C$4:$C$209,$B35,'Clean Keywords'!$L$4:$L$209,"Exact learning query",'Clean Keywords'!$M$4:$M$209,"Include",'Clean Keywords'!$E$4:$E$209,"&gt;0")</x:f>
        <x:v>0</x:v>
      </x:c>
      <x:c r="G35" s="59" t="n">
        <x:f>MAXIFS('Clean Keywords'!$D$4:$D$209,'Clean Keywords'!$B$4:$B$209,$A35,'Clean Keywords'!$C$4:$C$209,$B35,'Clean Keywords'!$L$4:$L$209,"Exact learning query",'Clean Keywords'!$M$4:$M$209,"Include")</x:f>
        <x:v>0</x:v>
      </x:c>
      <x:c r="H35" s="65" t="str">
        <x:v>—</x:v>
      </x:c>
      <x:c r="I35" s="67" t="n">
        <x:f>MAXIFS('Clean Keywords'!$E$4:$E$209,'Clean Keywords'!$B$4:$B$209,$A35,'Clean Keywords'!$C$4:$C$209,$B35,'Clean Keywords'!$L$4:$L$209,"Exact learning query",'Clean Keywords'!$M$4:$M$209,"Include")</x:f>
        <x:v>0</x:v>
      </x:c>
      <x:c r="J35" s="65" t="str">
        <x:v>—</x:v>
      </x:c>
      <x:c r="K35" s="67" t="n">
        <x:f>MAXIFS('Clean Keywords'!$D$4:$D$209,'Clean Keywords'!$B$4:$B$209,$A35,'Clean Keywords'!$C$4:$C$209,$B35,'Clean Keywords'!$L$4:$L$209,"Broad category term",'Clean Keywords'!$M$4:$M$209,"Include")</x:f>
        <x:v>0</x:v>
      </x:c>
      <x:c r="L35" s="65" t="str">
        <x:v>—</x:v>
      </x:c>
      <x:c r="M35" s="67" t="n">
        <x:f>MAXIFS('Clean Keywords'!$E$4:$E$209,'Clean Keywords'!$B$4:$B$209,$A35,'Clean Keywords'!$C$4:$C$209,$B35,'Clean Keywords'!$L$4:$L$209,"Broad category term",'Clean Keywords'!$M$4:$M$209,"Include")</x:f>
        <x:v>0</x:v>
      </x:c>
      <x:c r="N35" s="65" t="str">
        <x:v>—</x:v>
      </x:c>
      <x:c r="O35" s="67" t="n">
        <x:f>MAXIFS('Clean Keywords'!$D$4:$D$209,'Clean Keywords'!$B$4:$B$209,$A35,'Clean Keywords'!$C$4:$C$209,$B35,'Clean Keywords'!$L$4:$L$209,"Specific concept term",'Clean Keywords'!$M$4:$M$209,"Include")</x:f>
        <x:v>0</x:v>
      </x:c>
      <x:c r="P35" s="65" t="str">
        <x:v>—</x:v>
      </x:c>
      <x:c r="Q35" s="65" t="str">
        <x:v>Single retained term; no within-family aggregation.</x:v>
      </x:c>
    </x:row>
    <x:row r="36">
      <x:c r="A36" s="65" t="str">
        <x:v>AI-assisted prototyping/building</x:v>
      </x:c>
      <x:c r="B36" s="65" t="str">
        <x:v>Lovable for beginners</x:v>
      </x:c>
      <x:c r="C36" s="59" t="n">
        <x:f>COUNTIFS('Clean Keywords'!$B$4:$B$209,$A36,'Clean Keywords'!$C$4:$C$209,$B36,'Clean Keywords'!$M$4:$M$209,"Include")</x:f>
        <x:v>1</x:v>
      </x:c>
      <x:c r="D36" s="59" t="n">
        <x:f>COUNTIFS('Clean Keywords'!$B$4:$B$209,$A36,'Clean Keywords'!$C$4:$C$209,$B36,'Clean Keywords'!$L$4:$L$209,"Exact learning query",'Clean Keywords'!$M$4:$M$209,"Include")</x:f>
        <x:v>1</x:v>
      </x:c>
      <x:c r="E36" s="59" t="n">
        <x:f>COUNTIFS('Clean Keywords'!$B$4:$B$209,$A36,'Clean Keywords'!$C$4:$C$209,$B36,'Clean Keywords'!$L$4:$L$209,"Exact learning query",'Clean Keywords'!$M$4:$M$209,"Include",'Clean Keywords'!$D$4:$D$209,"&gt;0")</x:f>
        <x:v>0</x:v>
      </x:c>
      <x:c r="F36" s="59" t="n">
        <x:f>COUNTIFS('Clean Keywords'!$B$4:$B$209,$A36,'Clean Keywords'!$C$4:$C$209,$B36,'Clean Keywords'!$L$4:$L$209,"Exact learning query",'Clean Keywords'!$M$4:$M$209,"Include",'Clean Keywords'!$E$4:$E$209,"&gt;0")</x:f>
        <x:v>0</x:v>
      </x:c>
      <x:c r="G36" s="59" t="n">
        <x:f>MAXIFS('Clean Keywords'!$D$4:$D$209,'Clean Keywords'!$B$4:$B$209,$A36,'Clean Keywords'!$C$4:$C$209,$B36,'Clean Keywords'!$L$4:$L$209,"Exact learning query",'Clean Keywords'!$M$4:$M$209,"Include")</x:f>
        <x:v>0</x:v>
      </x:c>
      <x:c r="H36" s="65" t="str">
        <x:v>—</x:v>
      </x:c>
      <x:c r="I36" s="67" t="n">
        <x:f>MAXIFS('Clean Keywords'!$E$4:$E$209,'Clean Keywords'!$B$4:$B$209,$A36,'Clean Keywords'!$C$4:$C$209,$B36,'Clean Keywords'!$L$4:$L$209,"Exact learning query",'Clean Keywords'!$M$4:$M$209,"Include")</x:f>
        <x:v>0</x:v>
      </x:c>
      <x:c r="J36" s="65" t="str">
        <x:v>—</x:v>
      </x:c>
      <x:c r="K36" s="67" t="n">
        <x:f>MAXIFS('Clean Keywords'!$D$4:$D$209,'Clean Keywords'!$B$4:$B$209,$A36,'Clean Keywords'!$C$4:$C$209,$B36,'Clean Keywords'!$L$4:$L$209,"Broad category term",'Clean Keywords'!$M$4:$M$209,"Include")</x:f>
        <x:v>0</x:v>
      </x:c>
      <x:c r="L36" s="65" t="str">
        <x:v>—</x:v>
      </x:c>
      <x:c r="M36" s="67" t="n">
        <x:f>MAXIFS('Clean Keywords'!$E$4:$E$209,'Clean Keywords'!$B$4:$B$209,$A36,'Clean Keywords'!$C$4:$C$209,$B36,'Clean Keywords'!$L$4:$L$209,"Broad category term",'Clean Keywords'!$M$4:$M$209,"Include")</x:f>
        <x:v>0</x:v>
      </x:c>
      <x:c r="N36" s="65" t="str">
        <x:v>—</x:v>
      </x:c>
      <x:c r="O36" s="67" t="n">
        <x:f>MAXIFS('Clean Keywords'!$D$4:$D$209,'Clean Keywords'!$B$4:$B$209,$A36,'Clean Keywords'!$C$4:$C$209,$B36,'Clean Keywords'!$L$4:$L$209,"Specific concept term",'Clean Keywords'!$M$4:$M$209,"Include")</x:f>
        <x:v>0</x:v>
      </x:c>
      <x:c r="P36" s="65" t="str">
        <x:v>—</x:v>
      </x:c>
      <x:c r="Q36" s="65" t="str">
        <x:v>Single retained term; no within-family aggregation.</x:v>
      </x:c>
    </x:row>
    <x:row r="37">
      <x:c r="A37" s="65" t="str">
        <x:v>AI-assisted prototyping/building</x:v>
      </x:c>
      <x:c r="B37" s="65" t="str">
        <x:v>Vibe coding basics and mechanics</x:v>
      </x:c>
      <x:c r="C37" s="59" t="n">
        <x:f>COUNTIFS('Clean Keywords'!$B$4:$B$209,$A37,'Clean Keywords'!$C$4:$C$209,$B37,'Clean Keywords'!$M$4:$M$209,"Include")</x:f>
        <x:v>16</x:v>
      </x:c>
      <x:c r="D37" s="59" t="n">
        <x:f>COUNTIFS('Clean Keywords'!$B$4:$B$209,$A37,'Clean Keywords'!$C$4:$C$209,$B37,'Clean Keywords'!$L$4:$L$209,"Exact learning query",'Clean Keywords'!$M$4:$M$209,"Include")</x:f>
        <x:v>9</x:v>
      </x:c>
      <x:c r="E37" s="59" t="n">
        <x:f>COUNTIFS('Clean Keywords'!$B$4:$B$209,$A37,'Clean Keywords'!$C$4:$C$209,$B37,'Clean Keywords'!$L$4:$L$209,"Exact learning query",'Clean Keywords'!$M$4:$M$209,"Include",'Clean Keywords'!$D$4:$D$209,"&gt;0")</x:f>
        <x:v>9</x:v>
      </x:c>
      <x:c r="F37" s="59" t="n">
        <x:f>COUNTIFS('Clean Keywords'!$B$4:$B$209,$A37,'Clean Keywords'!$C$4:$C$209,$B37,'Clean Keywords'!$L$4:$L$209,"Exact learning query",'Clean Keywords'!$M$4:$M$209,"Include",'Clean Keywords'!$E$4:$E$209,"&gt;0")</x:f>
        <x:v>8</x:v>
      </x:c>
      <x:c r="G37" s="59" t="n">
        <x:f>MAXIFS('Clean Keywords'!$D$4:$D$209,'Clean Keywords'!$B$4:$B$209,$A37,'Clean Keywords'!$C$4:$C$209,$B37,'Clean Keywords'!$L$4:$L$209,"Exact learning query",'Clean Keywords'!$M$4:$M$209,"Include")</x:f>
        <x:v>49500</x:v>
      </x:c>
      <x:c r="H37" s="65" t="str">
        <x:v>what is vibe coding</x:v>
      </x:c>
      <x:c r="I37" s="67" t="n">
        <x:f>MAXIFS('Clean Keywords'!$E$4:$E$209,'Clean Keywords'!$B$4:$B$209,$A37,'Clean Keywords'!$C$4:$C$209,$B37,'Clean Keywords'!$L$4:$L$209,"Exact learning query",'Clean Keywords'!$M$4:$M$209,"Include")</x:f>
        <x:v>5400</x:v>
      </x:c>
      <x:c r="J37" s="65" t="str">
        <x:v>what is vibe coding</x:v>
      </x:c>
      <x:c r="K37" s="67" t="n">
        <x:f>MAXIFS('Clean Keywords'!$D$4:$D$209,'Clean Keywords'!$B$4:$B$209,$A37,'Clean Keywords'!$C$4:$C$209,$B37,'Clean Keywords'!$L$4:$L$209,"Broad category term",'Clean Keywords'!$M$4:$M$209,"Include")</x:f>
        <x:v>90500</x:v>
      </x:c>
      <x:c r="L37" s="65" t="str">
        <x:v>vibe coding</x:v>
      </x:c>
      <x:c r="M37" s="67" t="n">
        <x:f>MAXIFS('Clean Keywords'!$E$4:$E$209,'Clean Keywords'!$B$4:$B$209,$A37,'Clean Keywords'!$C$4:$C$209,$B37,'Clean Keywords'!$L$4:$L$209,"Broad category term",'Clean Keywords'!$M$4:$M$209,"Include")</x:f>
        <x:v>18100</x:v>
      </x:c>
      <x:c r="N37" s="65" t="str">
        <x:v>vibe coding</x:v>
      </x:c>
      <x:c r="O37" s="67" t="n">
        <x:f>MAXIFS('Clean Keywords'!$D$4:$D$209,'Clean Keywords'!$B$4:$B$209,$A37,'Clean Keywords'!$C$4:$C$209,$B37,'Clean Keywords'!$L$4:$L$209,"Specific concept term",'Clean Keywords'!$M$4:$M$209,"Include")</x:f>
        <x:v>0</x:v>
      </x:c>
      <x:c r="P37" s="65" t="str">
        <x:v>—</x:v>
      </x:c>
      <x:c r="Q37" s="65" t="str">
        <x:v>16 variants/terms share this intent; volumes are shown individually and not summed.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8a99338afb044bd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40" hidden="0" customWidth="1"/>
    <x:col min="3" max="3" width="42" hidden="0" customWidth="1"/>
    <x:col min="4" max="4" width="11" hidden="0" customWidth="1"/>
    <x:col min="5" max="5" width="11" hidden="0" customWidth="1"/>
    <x:col min="6" max="6" width="12" hidden="0" customWidth="1"/>
    <x:col min="7" max="7" width="25" hidden="0" customWidth="1"/>
    <x:col min="8" max="8" width="12" hidden="0" customWidth="1"/>
    <x:col min="9" max="9" width="25" hidden="0" customWidth="1"/>
    <x:col min="10" max="10" width="12" hidden="0" customWidth="1"/>
    <x:col min="11" max="11" width="22" hidden="0" customWidth="1"/>
    <x:col min="12" max="12" width="12" hidden="0" customWidth="1"/>
    <x:col min="13" max="13" width="22" hidden="0" customWidth="1"/>
    <x:col min="14" max="14" width="42" hidden="0" customWidth="1"/>
    <x:col min="15" max="15" width="37" hidden="0" customWidth="1"/>
    <x:col min="16" max="16" width="40" hidden="0" customWidth="1"/>
  </x:cols>
  <x:sheetData>
    <x:row r="1" ht="32" customHeight="1">
      <x:c r="A1" s="3" t="str">
        <x:v>Demand by validated PM need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0" customHeight="1">
      <x:c r="A2" s="7" t="str">
        <x:v>Exact learning demand, intent-family evidence and broad category demand remain separate.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 ht="34" customHeight="1">
      <x:c r="A3" s="14" t="str">
        <x:v>Validated PM need</x:v>
      </x:c>
      <x:c r="B3" s="24" t="str">
        <x:v>Original PM evidence</x:v>
      </x:c>
      <x:c r="C3" s="24" t="str">
        <x:v>Result-audience evidence</x:v>
      </x:c>
      <x:c r="D3" s="24" t="str">
        <x:v>Included keywords</x:v>
      </x:c>
      <x:c r="E3" s="24" t="str">
        <x:v>Intent families</x:v>
      </x:c>
      <x:c r="F3" s="24" t="str">
        <x:v>Largest exact US</x:v>
      </x:c>
      <x:c r="G3" s="24" t="str">
        <x:v>Exact US term</x:v>
      </x:c>
      <x:c r="H3" s="24" t="str">
        <x:v>Largest exact UK</x:v>
      </x:c>
      <x:c r="I3" s="24" t="str">
        <x:v>Exact UK term</x:v>
      </x:c>
      <x:c r="J3" s="24" t="str">
        <x:v>Largest broad US</x:v>
      </x:c>
      <x:c r="K3" s="24" t="str">
        <x:v>Broad US term</x:v>
      </x:c>
      <x:c r="L3" s="24" t="str">
        <x:v>Largest broad UK</x:v>
      </x:c>
      <x:c r="M3" s="24" t="str">
        <x:v>Broad UK term</x:v>
      </x:c>
      <x:c r="N3" s="24" t="str">
        <x:v>Demand pattern</x:v>
      </x:c>
      <x:c r="O3" s="24" t="str">
        <x:v>Defensible interpretation</x:v>
      </x:c>
      <x:c r="P3" s="15" t="str">
        <x:v>Important caveat</x:v>
      </x:c>
    </x:row>
    <x:row r="4" ht="88" customHeight="1">
      <x:c r="A4" s="64" t="str">
        <x:v>Software product/system mental model</x:v>
      </x:c>
      <x:c r="B4" s="64" t="str">
        <x:v>Very strong original evidence; high confidence in existence and moderate-high confidence in rank after validation.</x:v>
      </x:c>
      <x:c r="C4" s="64" t="str">
        <x:v>Prior search-language checks found unusually accessible non-engineer and PM-specific explainers; Semrush returned no SERP for these seeds.</x:v>
      </x:c>
      <x:c r="D4" s="58" t="n">
        <x:f>COUNTIFS('Clean Keywords'!$B$4:$B$209,$A4,'Clean Keywords'!$M$4:$M$209,"Include")</x:f>
        <x:v>18</x:v>
      </x:c>
      <x:c r="E4" s="58" t="n">
        <x:f>COUNTIF('Intent Families'!$A$4:$A$37,$A4)</x:f>
        <x:v>4</x:v>
      </x:c>
      <x:c r="F4" s="58" t="n">
        <x:f>MAXIFS('Clean Keywords'!$D$4:$D$209,'Clean Keywords'!$B$4:$B$209,$A4,'Clean Keywords'!$L$4:$L$209,"Exact learning query",'Clean Keywords'!$M$4:$M$209,"Include")</x:f>
        <x:v>40</x:v>
      </x:c>
      <x:c r="G4" s="64" t="str">
        <x:v>what happens when you type a url in the browser</x:v>
      </x:c>
      <x:c r="H4" s="66" t="n">
        <x:f>MAXIFS('Clean Keywords'!$E$4:$E$209,'Clean Keywords'!$B$4:$B$209,$A4,'Clean Keywords'!$L$4:$L$209,"Exact learning query",'Clean Keywords'!$M$4:$M$209,"Include")</x:f>
        <x:v>20</x:v>
      </x:c>
      <x:c r="I4" s="64" t="str">
        <x:v>what happens when you type a url in the browser</x:v>
      </x:c>
      <x:c r="J4" s="66" t="n">
        <x:f>MAXIFS('Clean Keywords'!$D$4:$D$209,'Clean Keywords'!$B$4:$B$209,$A4,'Clean Keywords'!$L$4:$L$209,"Broad category term",'Clean Keywords'!$M$4:$M$209,"Include")</x:f>
        <x:v>0</x:v>
      </x:c>
      <x:c r="K4" s="64" t="str">
        <x:v>—</x:v>
      </x:c>
      <x:c r="L4" s="66" t="n">
        <x:f>MAXIFS('Clean Keywords'!$E$4:$E$209,'Clean Keywords'!$B$4:$B$209,$A4,'Clean Keywords'!$L$4:$L$209,"Broad category term",'Clean Keywords'!$M$4:$M$209,"Include")</x:f>
        <x:v>0</x:v>
      </x:c>
      <x:c r="M4" s="64" t="str">
        <x:v>—</x:v>
      </x:c>
      <x:c r="N4" s="64" t="str">
        <x:v>Exact demand is low and fragmented across architecture, request flow, frontend/backend/database and tech-stack wording.</x:v>
      </x:c>
      <x:c r="O4" s="64" t="str">
        <x:v>Strong PM need + weak/fragmented public search demand.</x:v>
      </x:c>
      <x:c r="P4" s="64" t="str">
        <x:v>PMs often need a mental model of their own internal system, which public search volume cannot capture.</x:v>
      </x:c>
    </x:row>
    <x:row r="5" ht="88" customHeight="1">
      <x:c r="A5" s="65" t="str">
        <x:v>APIs, integrations and data flow</x:v>
      </x:c>
      <x:c r="B5" s="65" t="str">
        <x:v>Very strong original evidence; moderate-high confidence after validation, with less new cross-community replication.</x:v>
      </x:c>
      <x:c r="C5" s="65" t="str">
        <x:v>API basics are mixed but accessible; API-integration SERPs include explicitly non-technical guides; webhook comparisons skew more developer/vendor.</x:v>
      </x:c>
      <x:c r="D5" s="59" t="n">
        <x:f>COUNTIFS('Clean Keywords'!$B$4:$B$209,$A5,'Clean Keywords'!$M$4:$M$209,"Include")</x:f>
        <x:v>47</x:v>
      </x:c>
      <x:c r="E5" s="59" t="n">
        <x:f>COUNTIF('Intent Families'!$A$4:$A$37,$A5)</x:f>
        <x:v>7</x:v>
      </x:c>
      <x:c r="F5" s="59" t="n">
        <x:f>MAXIFS('Clean Keywords'!$D$4:$D$209,'Clean Keywords'!$B$4:$B$209,$A5,'Clean Keywords'!$L$4:$L$209,"Exact learning query",'Clean Keywords'!$M$4:$M$209,"Include")</x:f>
        <x:v>673000</x:v>
      </x:c>
      <x:c r="G5" s="65" t="str">
        <x:v>what is an api</x:v>
      </x:c>
      <x:c r="H5" s="67" t="n">
        <x:f>MAXIFS('Clean Keywords'!$E$4:$E$209,'Clean Keywords'!$B$4:$B$209,$A5,'Clean Keywords'!$L$4:$L$209,"Exact learning query",'Clean Keywords'!$M$4:$M$209,"Include")</x:f>
        <x:v>40500</x:v>
      </x:c>
      <x:c r="I5" s="65" t="str">
        <x:v>what is an api</x:v>
      </x:c>
      <x:c r="J5" s="67" t="n">
        <x:f>MAXIFS('Clean Keywords'!$D$4:$D$209,'Clean Keywords'!$B$4:$B$209,$A5,'Clean Keywords'!$L$4:$L$209,"Broad category term",'Clean Keywords'!$M$4:$M$209,"Include")</x:f>
        <x:v>135000</x:v>
      </x:c>
      <x:c r="K5" s="65" t="str">
        <x:v>api</x:v>
      </x:c>
      <x:c r="L5" s="67" t="n">
        <x:f>MAXIFS('Clean Keywords'!$E$4:$E$209,'Clean Keywords'!$B$4:$B$209,$A5,'Clean Keywords'!$L$4:$L$209,"Broad category term",'Clean Keywords'!$M$4:$M$209,"Include")</x:f>
        <x:v>27100</x:v>
      </x:c>
      <x:c r="M5" s="65" t="str">
        <x:v>api</x:v>
      </x:c>
      <x:c r="N5" s="65" t="str">
        <x:v>Strong exact learning demand and large broad-category demand, concentrated in API basics, integration and API-versus-webhook families.</x:v>
      </x:c>
      <x:c r="O5" s="65" t="str">
        <x:v>Strong PM need + strong search demand.</x:v>
      </x:c>
      <x:c r="P5" s="65" t="str">
        <x:v>Very large API category volumes include developers, students and commercial researchers and must not be treated as PM demand.</x:v>
      </x:c>
    </x:row>
    <x:row r="6" ht="88" customHeight="1">
      <x:c r="A6" s="65" t="str">
        <x:v>Development, testing and release</x:v>
      </x:c>
      <x:c r="B6" s="65" t="str">
        <x:v>Strong original evidence; high confidence in existence and the best new cross-community validation.</x:v>
      </x:c>
      <x:c r="C6" s="65" t="str">
        <x:v>CI/CD and environment SERPs are predominantly developer/DevOps, although some comparison pages are accessible.</x:v>
      </x:c>
      <x:c r="D6" s="59" t="n">
        <x:f>COUNTIFS('Clean Keywords'!$B$4:$B$209,$A6,'Clean Keywords'!$M$4:$M$209,"Include")</x:f>
        <x:v>28</x:v>
      </x:c>
      <x:c r="E6" s="59" t="n">
        <x:f>COUNTIF('Intent Families'!$A$4:$A$37,$A6)</x:f>
        <x:v>5</x:v>
      </x:c>
      <x:c r="F6" s="59" t="n">
        <x:f>MAXIFS('Clean Keywords'!$D$4:$D$209,'Clean Keywords'!$B$4:$B$209,$A6,'Clean Keywords'!$L$4:$L$209,"Exact learning query",'Clean Keywords'!$M$4:$M$209,"Include")</x:f>
        <x:v>110</x:v>
      </x:c>
      <x:c r="G6" s="65" t="str">
        <x:v>staging vs production</x:v>
      </x:c>
      <x:c r="H6" s="67" t="n">
        <x:f>MAXIFS('Clean Keywords'!$E$4:$E$209,'Clean Keywords'!$B$4:$B$209,$A6,'Clean Keywords'!$L$4:$L$209,"Exact learning query",'Clean Keywords'!$M$4:$M$209,"Include")</x:f>
        <x:v>20</x:v>
      </x:c>
      <x:c r="I6" s="65" t="str">
        <x:v>staging vs production</x:v>
      </x:c>
      <x:c r="J6" s="67" t="n">
        <x:f>MAXIFS('Clean Keywords'!$D$4:$D$209,'Clean Keywords'!$B$4:$B$209,$A6,'Clean Keywords'!$L$4:$L$209,"Broad category term",'Clean Keywords'!$M$4:$M$209,"Include")</x:f>
        <x:v>14800</x:v>
      </x:c>
      <x:c r="K6" s="65" t="str">
        <x:v>ci/cd</x:v>
      </x:c>
      <x:c r="L6" s="67" t="n">
        <x:f>MAXIFS('Clean Keywords'!$E$4:$E$209,'Clean Keywords'!$B$4:$B$209,$A6,'Clean Keywords'!$L$4:$L$209,"Broad category term",'Clean Keywords'!$M$4:$M$209,"Include")</x:f>
        <x:v>3600</x:v>
      </x:c>
      <x:c r="M6" s="65" t="str">
        <x:v>ci/cd</x:v>
      </x:c>
      <x:c r="N6" s="65" t="str">
        <x:v>Direct PM-relevant questions are modest and fragmented; broad CI/CD terminology is large but highly overlapping and developer-heavy.</x:v>
      </x:c>
      <x:c r="O6" s="65" t="str">
        <x:v>Strong PM need + weak/fragmented PM-fit public search demand.</x:v>
      </x:c>
      <x:c r="P6" s="65" t="str">
        <x:v>The end-to-end need splits across pipelines, PRs, staging, deployment and feature flags rather than one query.</x:v>
      </x:c>
    </x:row>
    <x:row r="7" ht="88" customHeight="1">
      <x:c r="A7" s="65" t="str">
        <x:v>Investigation and bug triage</x:v>
      </x:c>
      <x:c r="B7" s="65" t="str">
        <x:v>Strong original evidence; moderate confidence after validation.</x:v>
      </x:c>
      <x:c r="C7" s="65" t="str">
        <x:v>Prior checks found noisy bug-reproduction results and log content skewed towards operating systems, security and specialists; no supplied seed SERP was available.</x:v>
      </x:c>
      <x:c r="D7" s="59" t="n">
        <x:f>COUNTIFS('Clean Keywords'!$B$4:$B$209,$A7,'Clean Keywords'!$M$4:$M$209,"Include")</x:f>
        <x:v>12</x:v>
      </x:c>
      <x:c r="E7" s="59" t="n">
        <x:f>COUNTIF('Intent Families'!$A$4:$A$37,$A7)</x:f>
        <x:v>5</x:v>
      </x:c>
      <x:c r="F7" s="59" t="n">
        <x:f>MAXIFS('Clean Keywords'!$D$4:$D$209,'Clean Keywords'!$B$4:$B$209,$A7,'Clean Keywords'!$L$4:$L$209,"Exact learning query",'Clean Keywords'!$M$4:$M$209,"Include")</x:f>
        <x:v>20</x:v>
      </x:c>
      <x:c r="G7" s="65" t="str">
        <x:v>how to reproduce a bug</x:v>
      </x:c>
      <x:c r="H7" s="67" t="n">
        <x:f>MAXIFS('Clean Keywords'!$E$4:$E$209,'Clean Keywords'!$B$4:$B$209,$A7,'Clean Keywords'!$L$4:$L$209,"Exact learning query",'Clean Keywords'!$M$4:$M$209,"Include")</x:f>
        <x:v>20</x:v>
      </x:c>
      <x:c r="I7" s="65" t="str">
        <x:v>severity vs priority bug</x:v>
      </x:c>
      <x:c r="J7" s="67" t="n">
        <x:f>MAXIFS('Clean Keywords'!$D$4:$D$209,'Clean Keywords'!$B$4:$B$209,$A7,'Clean Keywords'!$L$4:$L$209,"Broad category term",'Clean Keywords'!$M$4:$M$209,"Include")</x:f>
        <x:v>0</x:v>
      </x:c>
      <x:c r="K7" s="65" t="str">
        <x:v>—</x:v>
      </x:c>
      <x:c r="L7" s="67" t="n">
        <x:f>MAXIFS('Clean Keywords'!$E$4:$E$209,'Clean Keywords'!$B$4:$B$209,$A7,'Clean Keywords'!$L$4:$L$209,"Broad category term",'Clean Keywords'!$M$4:$M$209,"Include")</x:f>
        <x:v>0</x:v>
      </x:c>
      <x:c r="M7" s="65" t="str">
        <x:v>—</x:v>
      </x:c>
      <x:c r="N7" s="65" t="str">
        <x:v>Low exact volumes across reproduction, triage, logs and severity/priority; little coherent family-level public demand.</x:v>
      </x:c>
      <x:c r="O7" s="65" t="str">
        <x:v>Strong PM need + weak/fragmented public search demand.</x:v>
      </x:c>
      <x:c r="P7" s="65" t="str">
        <x:v>Issue investigation is often product-specific and performed through internal tools or colleague questions.</x:v>
      </x:c>
    </x:row>
    <x:row r="8" ht="88" customHeight="1">
      <x:c r="A8" s="65" t="str">
        <x:v>Feasibility, technical debt and trade-offs</x:v>
      </x:c>
      <x:c r="B8" s="65" t="str">
        <x:v>Very strong for feasibility/scope/trade-offs and strong for technical-debt decisions; moderate-high validation overall.</x:v>
      </x:c>
      <x:c r="C8" s="65" t="str">
        <x:v>Technical-debt SERPs are accessible across engineering and product; the MVP comparison SERP is materially contaminated by unrelated meanings.</x:v>
      </x:c>
      <x:c r="D8" s="59" t="n">
        <x:f>COUNTIFS('Clean Keywords'!$B$4:$B$209,$A8,'Clean Keywords'!$M$4:$M$209,"Include")</x:f>
        <x:v>19</x:v>
      </x:c>
      <x:c r="E8" s="59" t="n">
        <x:f>COUNTIF('Intent Families'!$A$4:$A$37,$A8)</x:f>
        <x:v>5</x:v>
      </x:c>
      <x:c r="F8" s="59" t="n">
        <x:f>MAXIFS('Clean Keywords'!$D$4:$D$209,'Clean Keywords'!$B$4:$B$209,$A8,'Clean Keywords'!$L$4:$L$209,"Exact learning query",'Clean Keywords'!$M$4:$M$209,"Include")</x:f>
        <x:v>2900</x:v>
      </x:c>
      <x:c r="G8" s="65" t="str">
        <x:v>what is tech debt</x:v>
      </x:c>
      <x:c r="H8" s="67" t="n">
        <x:f>MAXIFS('Clean Keywords'!$E$4:$E$209,'Clean Keywords'!$B$4:$B$209,$A8,'Clean Keywords'!$L$4:$L$209,"Exact learning query",'Clean Keywords'!$M$4:$M$209,"Include")</x:f>
        <x:v>720</x:v>
      </x:c>
      <x:c r="I8" s="65" t="str">
        <x:v>what is technical debt</x:v>
      </x:c>
      <x:c r="J8" s="67" t="n">
        <x:f>MAXIFS('Clean Keywords'!$D$4:$D$209,'Clean Keywords'!$B$4:$B$209,$A8,'Clean Keywords'!$L$4:$L$209,"Broad category term",'Clean Keywords'!$M$4:$M$209,"Include")</x:f>
        <x:v>6600</x:v>
      </x:c>
      <x:c r="K8" s="65" t="str">
        <x:v>minimum viable product</x:v>
      </x:c>
      <x:c r="L8" s="67" t="n">
        <x:f>MAXIFS('Clean Keywords'!$E$4:$E$209,'Clean Keywords'!$B$4:$B$209,$A8,'Clean Keywords'!$L$4:$L$209,"Broad category term",'Clean Keywords'!$M$4:$M$209,"Include")</x:f>
        <x:v>1600</x:v>
      </x:c>
      <x:c r="M8" s="65" t="str">
        <x:v>technical debt</x:v>
      </x:c>
      <x:c r="N8" s="65" t="str">
        <x:v>Demand is concentrated in technical-debt definitions and broad terms; direct feasibility and dependency language is largely absent.</x:v>
      </x:c>
      <x:c r="O8" s="65" t="str">
        <x:v>Strong PM need + concentrated category demand, but weak direct feasibility search demand.</x:v>
      </x:c>
      <x:c r="P8" s="65" t="str">
        <x:v>Technical-debt and MVP category volume cannot stand in for the broader PM job of pressure-testing feasibility and dependencies.</x:v>
      </x:c>
    </x:row>
    <x:row r="9" ht="88" customHeight="1">
      <x:c r="A9" s="65" t="str">
        <x:v>AI-assisted prototyping/building</x:v>
      </x:c>
      <x:c r="B9" s="65" t="str">
        <x:v>Strong but emerging and contested originally; moderate, platform-concentrated confidence after validation.</x:v>
      </x:c>
      <x:c r="C9" s="65" t="str">
        <x:v>Vibe-coding beginner results are accessible and current; mechanism queries mix general learners and developers.</x:v>
      </x:c>
      <x:c r="D9" s="59" t="n">
        <x:f>COUNTIFS('Clean Keywords'!$B$4:$B$209,$A9,'Clean Keywords'!$M$4:$M$209,"Include")</x:f>
        <x:v>31</x:v>
      </x:c>
      <x:c r="E9" s="59" t="n">
        <x:f>COUNTIF('Intent Families'!$A$4:$A$37,$A9)</x:f>
        <x:v>8</x:v>
      </x:c>
      <x:c r="F9" s="59" t="n">
        <x:f>MAXIFS('Clean Keywords'!$D$4:$D$209,'Clean Keywords'!$B$4:$B$209,$A9,'Clean Keywords'!$L$4:$L$209,"Exact learning query",'Clean Keywords'!$M$4:$M$209,"Include")</x:f>
        <x:v>49500</x:v>
      </x:c>
      <x:c r="G9" s="65" t="str">
        <x:v>what is vibe coding</x:v>
      </x:c>
      <x:c r="H9" s="67" t="n">
        <x:f>MAXIFS('Clean Keywords'!$E$4:$E$209,'Clean Keywords'!$B$4:$B$209,$A9,'Clean Keywords'!$L$4:$L$209,"Exact learning query",'Clean Keywords'!$M$4:$M$209,"Include")</x:f>
        <x:v>5400</x:v>
      </x:c>
      <x:c r="I9" s="65" t="str">
        <x:v>what is vibe coding</x:v>
      </x:c>
      <x:c r="J9" s="67" t="n">
        <x:f>MAXIFS('Clean Keywords'!$D$4:$D$209,'Clean Keywords'!$B$4:$B$209,$A9,'Clean Keywords'!$L$4:$L$209,"Broad category term",'Clean Keywords'!$M$4:$M$209,"Include")</x:f>
        <x:v>90500</x:v>
      </x:c>
      <x:c r="K9" s="65" t="str">
        <x:v>vibe coding</x:v>
      </x:c>
      <x:c r="L9" s="67" t="n">
        <x:f>MAXIFS('Clean Keywords'!$E$4:$E$209,'Clean Keywords'!$B$4:$B$209,$A9,'Clean Keywords'!$L$4:$L$209,"Broad category term",'Clean Keywords'!$M$4:$M$209,"Include")</x:f>
        <x:v>18100</x:v>
      </x:c>
      <x:c r="M9" s="65" t="str">
        <x:v>vibe coding</x:v>
      </x:c>
      <x:c r="N9" s="65" t="str">
        <x:v>Strong AI-era category and explanation demand around vibe coding; direct PM/prototype and production-boundary queries remain low or missing.</x:v>
      </x:c>
      <x:c r="O9" s="65" t="str">
        <x:v>Emerging PM need + strong category/explanation demand, but weak PM-specific prototype demand.</x:v>
      </x:c>
      <x:c r="P9" s="65" t="str">
        <x:v>Spelling variants overlap heavily, tool terms change quickly, and working prototypes do not imply production readiness.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bd65295a88e144b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31" hidden="0" customWidth="1"/>
    <x:col min="3" max="3" width="15" hidden="0" customWidth="1"/>
    <x:col min="4" max="4" width="38" hidden="0" customWidth="1"/>
    <x:col min="5" max="5" width="60" hidden="0" customWidth="1"/>
  </x:cols>
  <x:sheetData>
    <x:row r="1" ht="32" customHeight="1">
      <x:c r="A1" s="3" t="str">
        <x:v>Supplied SERP evidence</x:v>
      </x:c>
      <x:c r="B1" s="3"/>
      <x:c r="C1" s="3"/>
      <x:c r="D1" s="3"/>
      <x:c r="E1" s="3"/>
    </x:row>
    <x:row r="2" ht="30" customHeight="1">
      <x:c r="A2" s="7" t="str">
        <x:v>Dataset C covers ten US seeds only; titles and SERP features were not returned.</x:v>
      </x:c>
      <x:c r="B2" s="7"/>
      <x:c r="C2" s="7"/>
      <x:c r="D2" s="7"/>
      <x:c r="E2" s="7"/>
    </x:row>
    <x:row r="3" ht="34" customHeight="1">
      <x:c r="A3" s="14" t="str">
        <x:v>Seed keyword</x:v>
      </x:c>
      <x:c r="B3" s="24" t="str">
        <x:v>Need cluster</x:v>
      </x:c>
      <x:c r="C3" s="24" t="str">
        <x:v>US results returned</x:v>
      </x:c>
      <x:c r="D3" s="24" t="str">
        <x:v>Result-audience assessment</x:v>
      </x:c>
      <x:c r="E3" s="15" t="str">
        <x:v>Evidence and caveat</x:v>
      </x:c>
    </x:row>
    <x:row r="4" ht="52" customHeight="1">
      <x:c r="A4" s="64" t="str">
        <x:v>how does an api work</x:v>
      </x:c>
      <x:c r="B4" s="64" t="str">
        <x:v>APIs, integrations and data flow</x:v>
      </x:c>
      <x:c r="C4" s="64" t="n">
        <x:v>10</x:v>
      </x:c>
      <x:c r="D4" s="64" t="str">
        <x:v>Mixed but accessible general learning</x:v>
      </x:c>
      <x:c r="E4" s="64" t="str">
        <x:v>Glossaries, explainers and Q&amp;A dominate; some developer/student sources.</x:v>
      </x:c>
    </x:row>
    <x:row r="5" ht="52" customHeight="1">
      <x:c r="A5" s="65" t="str">
        <x:v>what is an api and how does it work</x:v>
      </x:c>
      <x:c r="B5" s="65" t="str">
        <x:v>APIs, integrations and data flow</x:v>
      </x:c>
      <x:c r="C5" s="65" t="n">
        <x:v>10</x:v>
      </x:c>
      <x:c r="D5" s="65" t="str">
        <x:v>Mixed but accessible general learning</x:v>
      </x:c>
      <x:c r="E5" s="65" t="str">
        <x:v>General explainers and education pages dominate; not PM-specific.</x:v>
      </x:c>
    </x:row>
    <x:row r="6" ht="52" customHeight="1">
      <x:c r="A6" s="65" t="str">
        <x:v>how does api integration work</x:v>
      </x:c>
      <x:c r="B6" s="65" t="str">
        <x:v>APIs, integrations and data flow</x:v>
      </x:c>
      <x:c r="C6" s="65" t="n">
        <x:v>10</x:v>
      </x:c>
      <x:c r="D6" s="65" t="str">
        <x:v>Mostly accessible business/non-technical learning</x:v>
      </x:c>
      <x:c r="E6" s="65" t="str">
        <x:v>Several results explicitly target non-technical readers; many are vendor glossaries.</x:v>
      </x:c>
    </x:row>
    <x:row r="7" ht="52" customHeight="1">
      <x:c r="A7" s="65" t="str">
        <x:v>webhooks vs api</x:v>
      </x:c>
      <x:c r="B7" s="65" t="str">
        <x:v>APIs, integrations and data flow</x:v>
      </x:c>
      <x:c r="C7" s="65" t="n">
        <x:v>10</x:v>
      </x:c>
      <x:c r="D7" s="65" t="str">
        <x:v>Mixed developer and general comparison intent</x:v>
      </x:c>
      <x:c r="E7" s="65" t="str">
        <x:v>Comparison pages are readable, but most publishers sell developer/integration products.</x:v>
      </x:c>
    </x:row>
    <x:row r="8" ht="52" customHeight="1">
      <x:c r="A8" s="65" t="str">
        <x:v>how does ci cd pipeline work</x:v>
      </x:c>
      <x:c r="B8" s="65" t="str">
        <x:v>Development, testing and release</x:v>
      </x:c>
      <x:c r="C8" s="65" t="n">
        <x:v>10</x:v>
      </x:c>
      <x:c r="D8" s="65" t="str">
        <x:v>Predominantly developer/DevOps</x:v>
      </x:c>
      <x:c r="E8" s="65" t="str">
        <x:v>DevOps vendors and engineering-learning sites dominate the supplied SERP.</x:v>
      </x:c>
    </x:row>
    <x:row r="9" ht="52" customHeight="1">
      <x:c r="A9" s="65" t="str">
        <x:v>staging vs production</x:v>
      </x:c>
      <x:c r="B9" s="65" t="str">
        <x:v>Development, testing and release</x:v>
      </x:c>
      <x:c r="C9" s="65" t="n">
        <x:v>10</x:v>
      </x:c>
      <x:c r="D9" s="65" t="str">
        <x:v>Predominantly developer/DevOps, partly accessible</x:v>
      </x:c>
      <x:c r="E9" s="65" t="str">
        <x:v>Developer communities and hosting/testing explainers dominate.</x:v>
      </x:c>
    </x:row>
    <x:row r="10" ht="52" customHeight="1">
      <x:c r="A10" s="65" t="str">
        <x:v>what is technical debt in software development</x:v>
      </x:c>
      <x:c r="B10" s="65" t="str">
        <x:v>Feasibility, technical debt and trade-offs</x:v>
      </x:c>
      <x:c r="C10" s="65" t="n">
        <x:v>10</x:v>
      </x:c>
      <x:c r="D10" s="65" t="str">
        <x:v>Mixed engineering/product, broadly accessible</x:v>
      </x:c>
      <x:c r="E10" s="65" t="str">
        <x:v>General concept explainers from engineering and agile/product publishers.</x:v>
      </x:c>
    </x:row>
    <x:row r="11" ht="52" customHeight="1">
      <x:c r="A11" s="65" t="str">
        <x:v>mvp vs prototype vs poc</x:v>
      </x:c>
      <x:c r="B11" s="65" t="str">
        <x:v>Feasibility, technical debt and trade-offs</x:v>
      </x:c>
      <x:c r="C11" s="65" t="n">
        <x:v>10</x:v>
      </x:c>
      <x:c r="D11" s="65" t="str">
        <x:v>Substantially ambiguous</x:v>
      </x:c>
      <x:c r="E11" s="65" t="str">
        <x:v>Four of the supplied top ten results are healthcare, sports or unrelated MVP entities; six are product-relevant.</x:v>
      </x:c>
    </x:row>
    <x:row r="12" ht="52" customHeight="1">
      <x:c r="A12" s="65" t="str">
        <x:v>vibe coding for beginners</x:v>
      </x:c>
      <x:c r="B12" s="65" t="str">
        <x:v>AI-assisted prototyping/building</x:v>
      </x:c>
      <x:c r="C12" s="65" t="n">
        <x:v>10</x:v>
      </x:c>
      <x:c r="D12" s="65" t="str">
        <x:v>Beginner and non-technical friendly</x:v>
      </x:c>
      <x:c r="E12" s="65" t="str">
        <x:v>Beginner guides, courses and a current community result dominate.</x:v>
      </x:c>
    </x:row>
    <x:row r="13" ht="52" customHeight="1">
      <x:c r="A13" s="65" t="str">
        <x:v>how does vibe coding work</x:v>
      </x:c>
      <x:c r="B13" s="65" t="str">
        <x:v>AI-assisted prototyping/building</x:v>
      </x:c>
      <x:c r="C13" s="65" t="n">
        <x:v>10</x:v>
      </x:c>
      <x:c r="D13" s="65" t="str">
        <x:v>Mixed general learner and developer</x:v>
      </x:c>
      <x:c r="E13" s="65" t="str">
        <x:v>Accessible definitions coexist with experienced-developer commentary.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28d97d2676ee4ae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4" hidden="0" customWidth="1"/>
    <x:col min="3" max="3" width="70" hidden="0" customWidth="1"/>
  </x:cols>
  <x:sheetData>
    <x:row r="1" ht="32" customHeight="1">
      <x:c r="A1" s="3" t="str">
        <x:v>Google Trends shortlist</x:v>
      </x:c>
      <x:c r="B1" s="3"/>
      <x:c r="C1" s="3"/>
    </x:row>
    <x:row r="2" ht="30" customHeight="1">
      <x:c r="A2" s="7" t="str">
        <x:v>Terms to investigate next; no Google Trends research has been run in this stage.</x:v>
      </x:c>
      <x:c r="B2" s="7"/>
      <x:c r="C2" s="7"/>
    </x:row>
    <x:row r="3" ht="34" customHeight="1">
      <x:c r="A3" s="14" t="str">
        <x:v>Term or concept</x:v>
      </x:c>
      <x:c r="B3" s="24" t="str">
        <x:v>Need cluster</x:v>
      </x:c>
      <x:c r="C3" s="15" t="str">
        <x:v>Why Trends would help</x:v>
      </x:c>
    </x:row>
    <x:row r="4" ht="38" customHeight="1">
      <x:c r="A4" s="64" t="str">
        <x:v>what happens when you type a url in the browser</x:v>
      </x:c>
      <x:c r="B4" s="64" t="str">
        <x:v>Software product/system mental model</x:v>
      </x:c>
      <x:c r="C4" s="64" t="str">
        <x:v>Established request-flow query; test whether interest is stable or declining.</x:v>
      </x:c>
    </x:row>
    <x:row r="5" ht="38" customHeight="1">
      <x:c r="A5" s="65" t="str">
        <x:v>frontend backend database</x:v>
      </x:c>
      <x:c r="B5" s="65" t="str">
        <x:v>Software product/system mental model</x:v>
      </x:c>
      <x:c r="C5" s="65" t="str">
        <x:v>Representative whole-system mental-model term with low Semrush volume but strong audience fit.</x:v>
      </x:c>
    </x:row>
    <x:row r="6" ht="38" customHeight="1">
      <x:c r="A6" s="65" t="str">
        <x:v>application architecture explained</x:v>
      </x:c>
      <x:c r="B6" s="65" t="str">
        <x:v>Software product/system mental model</x:v>
      </x:c>
      <x:c r="C6" s="65" t="str">
        <x:v>Tests whether architecture-learning demand exists below Semrush reporting thresholds.</x:v>
      </x:c>
    </x:row>
    <x:row r="7" ht="38" customHeight="1">
      <x:c r="A7" s="65" t="str">
        <x:v>what is an api</x:v>
      </x:c>
      <x:c r="B7" s="65" t="str">
        <x:v>APIs, integrations and data flow</x:v>
      </x:c>
      <x:c r="C7" s="65" t="str">
        <x:v>Large mature API-learning baseline for stability.</x:v>
      </x:c>
    </x:row>
    <x:row r="8" ht="38" customHeight="1">
      <x:c r="A8" s="65" t="str">
        <x:v>how does an api work</x:v>
      </x:c>
      <x:c r="B8" s="65" t="str">
        <x:v>APIs, integrations and data flow</x:v>
      </x:c>
      <x:c r="C8" s="65" t="str">
        <x:v>Specific mechanism query to compare with the broad API baseline.</x:v>
      </x:c>
    </x:row>
    <x:row r="9" ht="38" customHeight="1">
      <x:c r="A9" s="65" t="str">
        <x:v>api integration</x:v>
      </x:c>
      <x:c r="B9" s="65" t="str">
        <x:v>APIs, integrations and data flow</x:v>
      </x:c>
      <x:c r="C9" s="65" t="str">
        <x:v>Established integration category; test stability and regional movement.</x:v>
      </x:c>
    </x:row>
    <x:row r="10" ht="38" customHeight="1">
      <x:c r="A10" s="65" t="str">
        <x:v>webhook vs api</x:v>
      </x:c>
      <x:c r="B10" s="65" t="str">
        <x:v>APIs, integrations and data flow</x:v>
      </x:c>
      <x:c r="C10" s="65" t="str">
        <x:v>Clear comparison family with overlapping variants; Trends can reveal trajectory.</x:v>
      </x:c>
    </x:row>
    <x:row r="11" ht="38" customHeight="1">
      <x:c r="A11" s="65" t="str">
        <x:v>ci/cd</x:v>
      </x:c>
      <x:c r="B11" s="65" t="str">
        <x:v>Development, testing and release</x:v>
      </x:c>
      <x:c r="C11" s="65" t="str">
        <x:v>Broad release-workflow category; test long-term stability while treating spelling variants together.</x:v>
      </x:c>
    </x:row>
    <x:row r="12" ht="38" customHeight="1">
      <x:c r="A12" s="65" t="str">
        <x:v>continuous deployment</x:v>
      </x:c>
      <x:c r="B12" s="65" t="str">
        <x:v>Development, testing and release</x:v>
      </x:c>
      <x:c r="C12" s="65" t="str">
        <x:v>Separates a specific release concept from the broader CI/CD label.</x:v>
      </x:c>
    </x:row>
    <x:row r="13" ht="38" customHeight="1">
      <x:c r="A13" s="65" t="str">
        <x:v>staging vs production</x:v>
      </x:c>
      <x:c r="B13" s="65" t="str">
        <x:v>Development, testing and release</x:v>
      </x:c>
      <x:c r="C13" s="65" t="str">
        <x:v>Accessible environment comparison with modest exact demand.</x:v>
      </x:c>
    </x:row>
    <x:row r="14" ht="38" customHeight="1">
      <x:c r="A14" s="65" t="str">
        <x:v>how to reproduce a bug</x:v>
      </x:c>
      <x:c r="B14" s="65" t="str">
        <x:v>Investigation and bug triage</x:v>
      </x:c>
      <x:c r="C14" s="65" t="str">
        <x:v>Validated PM task with weak public demand; test whether Semrush under-reports it.</x:v>
      </x:c>
    </x:row>
    <x:row r="15" ht="38" customHeight="1">
      <x:c r="A15" s="65" t="str">
        <x:v>bug triage process</x:v>
      </x:c>
      <x:c r="B15" s="65" t="str">
        <x:v>Investigation and bug triage</x:v>
      </x:c>
      <x:c r="C15" s="65" t="str">
        <x:v>Representative issue-triage concept for stability versus decline.</x:v>
      </x:c>
    </x:row>
    <x:row r="16" ht="38" customHeight="1">
      <x:c r="A16" s="65" t="str">
        <x:v>technical debt</x:v>
      </x:c>
      <x:c r="B16" s="65" t="str">
        <x:v>Feasibility, technical debt and trade-offs</x:v>
      </x:c>
      <x:c r="C16" s="65" t="str">
        <x:v>Large established category baseline.</x:v>
      </x:c>
    </x:row>
    <x:row r="17" ht="38" customHeight="1">
      <x:c r="A17" s="65" t="str">
        <x:v>what is technical debt</x:v>
      </x:c>
      <x:c r="B17" s="65" t="str">
        <x:v>Feasibility, technical debt and trade-offs</x:v>
      </x:c>
      <x:c r="C17" s="65" t="str">
        <x:v>Learning-intent version to compare with the broad technical-debt category.</x:v>
      </x:c>
    </x:row>
    <x:row r="18" ht="38" customHeight="1">
      <x:c r="A18" s="65" t="str">
        <x:v>mvp vs prototype vs poc</x:v>
      </x:c>
      <x:c r="B18" s="65" t="str">
        <x:v>Feasibility, technical debt and trade-offs</x:v>
      </x:c>
      <x:c r="C18" s="65" t="str">
        <x:v>Relevant comparison query whose trend may differ from the ambiguous MVP acronym.</x:v>
      </x:c>
    </x:row>
    <x:row r="19" ht="38" customHeight="1">
      <x:c r="A19" s="65" t="str">
        <x:v>prototype vs production software</x:v>
      </x:c>
      <x:c r="B19" s="65" t="str">
        <x:v>Feasibility, technical debt and trade-offs</x:v>
      </x:c>
      <x:c r="C19" s="65" t="str">
        <x:v>Tests whether production-boundary interest is emerging despite missing Semrush data.</x:v>
      </x:c>
    </x:row>
    <x:row r="20" ht="38" customHeight="1">
      <x:c r="A20" s="65" t="str">
        <x:v>vibe coding</x:v>
      </x:c>
      <x:c r="B20" s="65" t="str">
        <x:v>AI-assisted prototyping/building</x:v>
      </x:c>
      <x:c r="C20" s="65" t="str">
        <x:v>Primary AI-era category term; assess growth and persistence.</x:v>
      </x:c>
    </x:row>
    <x:row r="21" ht="38" customHeight="1">
      <x:c r="A21" s="65" t="str">
        <x:v>what is vibe coding</x:v>
      </x:c>
      <x:c r="B21" s="65" t="str">
        <x:v>AI-assisted prototyping/building</x:v>
      </x:c>
      <x:c r="C21" s="65" t="str">
        <x:v>Large explanation-intent query to compare with the category term.</x:v>
      </x:c>
    </x:row>
    <x:row r="22" ht="38" customHeight="1">
      <x:c r="A22" s="65" t="str">
        <x:v>vibe coding for beginners</x:v>
      </x:c>
      <x:c r="B22" s="65" t="str">
        <x:v>AI-assisted prototyping/building</x:v>
      </x:c>
      <x:c r="C22" s="65" t="str">
        <x:v>Strong non-technical fit; test whether beginner demand follows the category curve.</x:v>
      </x:c>
    </x:row>
    <x:row r="23" ht="38" customHeight="1">
      <x:c r="A23" s="65" t="str">
        <x:v>how to vibe code</x:v>
      </x:c>
      <x:c r="B23" s="65" t="str">
        <x:v>AI-assisted prototyping/building</x:v>
      </x:c>
      <x:c r="C23" s="65" t="str">
        <x:v>Task-intent version of the emerging category.</x:v>
      </x:c>
    </x:row>
    <x:row r="24" ht="38" customHeight="1">
      <x:c r="A24" s="65" t="str">
        <x:v>build mvp with ai</x:v>
      </x:c>
      <x:c r="B24" s="65" t="str">
        <x:v>AI-assisted prototyping/building</x:v>
      </x:c>
      <x:c r="C24" s="65" t="str">
        <x:v>Direct bounded-building outcome with low exact Semrush demand.</x:v>
      </x:c>
    </x:row>
    <x:row r="25" ht="38" customHeight="1">
      <x:c r="A25" s="65" t="str">
        <x:v>ai coding tools for beginners</x:v>
      </x:c>
      <x:c r="B25" s="65" t="str">
        <x:v>AI-assisted prototyping/building</x:v>
      </x:c>
      <x:c r="C25" s="65" t="str">
        <x:v>Tool-category learning term that can reveal broader AI-building growth.</x:v>
      </x:c>
    </x:row>
    <x:row r="26" ht="38" customHeight="1">
      <x:c r="A26" s="65" t="str">
        <x:v>claude code for non technical people</x:v>
      </x:c>
      <x:c r="B26" s="65" t="str">
        <x:v>AI-assisted prototyping/building</x:v>
      </x:c>
      <x:c r="C26" s="65" t="str">
        <x:v>Current tool-specific non-technical term missing from Semrush; useful for emergence testing.</x:v>
      </x:c>
    </x:row>
    <x:row r="27" ht="38" customHeight="1">
      <x:c r="A27" s="65" t="str">
        <x:v>lovable for beginners</x:v>
      </x:c>
      <x:c r="B27" s="65" t="str">
        <x:v>AI-assisted prototyping/building</x:v>
      </x:c>
      <x:c r="C27" s="65" t="str">
        <x:v>No-code/AI-builder term where Trends can show tool lifecycle and regional differences.</x:v>
      </x:c>
    </x:row>
    <x:row r="28" ht="38" customHeight="1">
      <x:c r="A28" s="65" t="str">
        <x:v>vibe coding production apps</x:v>
      </x:c>
      <x:c r="B28" s="65" t="str">
        <x:v>AI-assisted prototyping/building</x:v>
      </x:c>
      <x:c r="C28" s="65" t="str">
        <x:v>Tests whether attention is moving from first builds towards production boundaries.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20fd32b681234cd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8" hidden="0" customWidth="1"/>
    <x:col min="3" max="3" width="12" hidden="0" customWidth="1"/>
    <x:col min="4" max="4" width="12" hidden="0" customWidth="1"/>
    <x:col min="5" max="5" width="12" hidden="0" customWidth="1"/>
    <x:col min="6" max="6" width="72" hidden="0" customWidth="1"/>
  </x:cols>
  <x:sheetData>
    <x:row r="1" ht="32" customHeight="1">
      <x:c r="A1" s="3" t="str">
        <x:v>Exclusion log</x:v>
      </x:c>
      <x:c r="B1" s="3"/>
      <x:c r="C1" s="3"/>
      <x:c r="D1" s="3"/>
      <x:c r="E1" s="3"/>
      <x:c r="F1" s="3"/>
    </x:row>
    <x:row r="2" ht="30" customHeight="1">
      <x:c r="A2" s="7" t="str">
        <x:v>Every excluded Dataset B keyword with its original metrics and the cleaning reason.</x:v>
      </x:c>
      <x:c r="B2" s="7"/>
      <x:c r="C2" s="7"/>
      <x:c r="D2" s="7"/>
      <x:c r="E2" s="7"/>
      <x:c r="F2" s="7"/>
    </x:row>
    <x:row r="3" ht="34" customHeight="1">
      <x:c r="A3" s="14" t="str">
        <x:v>Keyword</x:v>
      </x:c>
      <x:c r="B3" s="24" t="str">
        <x:v>Source seed(s)</x:v>
      </x:c>
      <x:c r="C3" s="24" t="str">
        <x:v>US volume</x:v>
      </x:c>
      <x:c r="D3" s="24" t="str">
        <x:v>UK volume</x:v>
      </x:c>
      <x:c r="E3" s="24" t="str">
        <x:v>Audience fit</x:v>
      </x:c>
      <x:c r="F3" s="15" t="str">
        <x:v>Reason for exclusion</x:v>
      </x:c>
    </x:row>
    <x:row r="4">
      <x:c r="A4" s="64" t="str">
        <x:v>can i update backend database with frontend database is used</x:v>
      </x:c>
      <x:c r="B4" s="64" t="str">
        <x:v>frontend backend database</x:v>
      </x:c>
      <x:c r="C4" s="66" t="n">
        <x:v>0</x:v>
      </x:c>
      <x:c r="D4" s="66"/>
      <x:c r="E4" s="66" t="n">
        <x:v>1</x:v>
      </x:c>
      <x:c r="F4" s="64" t="str">
        <x:v>Malformed developer implementation query; outside the generalist-PM scope.</x:v>
      </x:c>
    </x:row>
    <x:row r="5">
      <x:c r="A5" s="65" t="str">
        <x:v>how to split access database into frontend and backend</x:v>
      </x:c>
      <x:c r="B5" s="65" t="str">
        <x:v>frontend backend database</x:v>
      </x:c>
      <x:c r="C5" s="67" t="n">
        <x:v>0</x:v>
      </x:c>
      <x:c r="D5" s="67"/>
      <x:c r="E5" s="67" t="n">
        <x:v>1</x:v>
      </x:c>
      <x:c r="F5" s="65" t="str">
        <x:v>Microsoft Access administration/development query outside generalist PM fluency.</x:v>
      </x:c>
    </x:row>
    <x:row r="6">
      <x:c r="A6" s="65" t="str">
        <x:v>is better to have a separate backend and frontend databases</x:v>
      </x:c>
      <x:c r="B6" s="65" t="str">
        <x:v>frontend backend database</x:v>
      </x:c>
      <x:c r="C6" s="67" t="n">
        <x:v>0</x:v>
      </x:c>
      <x:c r="D6" s="67"/>
      <x:c r="E6" s="67" t="n">
        <x:v>1</x:v>
      </x:c>
      <x:c r="F6" s="65" t="str">
        <x:v>Specialist architecture-design decision aimed primarily at developers.</x:v>
      </x:c>
    </x:row>
    <x:row r="7">
      <x:c r="A7" s="65" t="str">
        <x:v>api development</x:v>
      </x:c>
      <x:c r="B7" s="65" t="str">
        <x:v>how does an api work; what is an api and how does it work</x:v>
      </x:c>
      <x:c r="C7" s="67" t="n">
        <x:v>9900</x:v>
      </x:c>
      <x:c r="D7" s="67" t="n">
        <x:v>720</x:v>
      </x:c>
      <x:c r="E7" s="67" t="n">
        <x:v>1</x:v>
      </x:c>
      <x:c r="F7" s="65" t="str">
        <x:v>Developer implementation intent; outside generalist PM technical fluency.</x:v>
      </x:c>
    </x:row>
    <x:row r="8">
      <x:c r="A8" s="65" t="str">
        <x:v>api software</x:v>
      </x:c>
      <x:c r="B8" s="65" t="str">
        <x:v>how does api integration work</x:v>
      </x:c>
      <x:c r="C8" s="67" t="n">
        <x:v>1300</x:v>
      </x:c>
      <x:c r="D8" s="67" t="n">
        <x:v>320</x:v>
      </x:c>
      <x:c r="E8" s="67" t="n">
        <x:v>1</x:v>
      </x:c>
      <x:c r="F8" s="65" t="str">
        <x:v>Ambiguous software/vendor category; volume cannot be attributed to API learning.</x:v>
      </x:c>
    </x:row>
    <x:row r="9">
      <x:c r="A9" s="65" t="str">
        <x:v>how does an api gateway work</x:v>
      </x:c>
      <x:c r="B9" s="65" t="str">
        <x:v>how does an api work</x:v>
      </x:c>
      <x:c r="C9" s="67" t="n">
        <x:v>30</x:v>
      </x:c>
      <x:c r="D9" s="67" t="n">
        <x:v>20</x:v>
      </x:c>
      <x:c r="E9" s="67" t="n">
        <x:v>1</x:v>
      </x:c>
      <x:c r="F9" s="65" t="str">
        <x:v>API-infrastructure specialist query not repeatedly supported as an everyday generalist-PM need.</x:v>
      </x:c>
    </x:row>
    <x:row r="10">
      <x:c r="A10" s="65" t="str">
        <x:v>how does an apy account work</x:v>
      </x:c>
      <x:c r="B10" s="65" t="str">
        <x:v>how does an api work</x:v>
      </x:c>
      <x:c r="C10" s="67" t="n">
        <x:v>20</x:v>
      </x:c>
      <x:c r="D10" s="67"/>
      <x:c r="E10" s="67" t="n">
        <x:v>1</x:v>
      </x:c>
      <x:c r="F10" s="65" t="str">
        <x:v>Irrelevant finance query: APY is annual percentage yield, not API.</x:v>
      </x:c>
    </x:row>
    <x:row r="11">
      <x:c r="A11" s="65" t="str">
        <x:v>how does an apy work</x:v>
      </x:c>
      <x:c r="B11" s="65" t="str">
        <x:v>how does an api work</x:v>
      </x:c>
      <x:c r="C11" s="67" t="n">
        <x:v>70</x:v>
      </x:c>
      <x:c r="D11" s="67" t="n">
        <x:v>20</x:v>
      </x:c>
      <x:c r="E11" s="67" t="n">
        <x:v>1</x:v>
      </x:c>
      <x:c r="F11" s="65" t="str">
        <x:v>Irrelevant finance query: APY is annual percentage yield, not API.</x:v>
      </x:c>
    </x:row>
    <x:row r="12">
      <x:c r="A12" s="65" t="str">
        <x:v>websocket api</x:v>
      </x:c>
      <x:c r="B12" s="65" t="str">
        <x:v>webhooks vs api</x:v>
      </x:c>
      <x:c r="C12" s="67" t="n">
        <x:v>480</x:v>
      </x:c>
      <x:c r="D12" s="67" t="n">
        <x:v>90</x:v>
      </x:c>
      <x:c r="E12" s="67" t="n">
        <x:v>1</x:v>
      </x:c>
      <x:c r="F12" s="65" t="str">
        <x:v>Developer implementation term outside the validated everyday generalist-PM need.</x:v>
      </x:c>
    </x:row>
    <x:row r="13">
      <x:c r="A13" s="65" t="str">
        <x:v>api integration services</x:v>
      </x:c>
      <x:c r="B13" s="65" t="str">
        <x:v>how does api integration work</x:v>
      </x:c>
      <x:c r="C13" s="67" t="n">
        <x:v>1300</x:v>
      </x:c>
      <x:c r="D13" s="67" t="n">
        <x:v>480</x:v>
      </x:c>
      <x:c r="E13" s="67" t="n">
        <x:v>1</x:v>
      </x:c>
      <x:c r="F13" s="65" t="str">
        <x:v>Commercial service-provider intent rather than a learning query.</x:v>
      </x:c>
    </x:row>
    <x:row r="14">
      <x:c r="A14" s="65" t="str">
        <x:v>how does api based edi work for supply chain integration</x:v>
      </x:c>
      <x:c r="B14" s="65" t="str">
        <x:v>how does api integration work</x:v>
      </x:c>
      <x:c r="C14" s="67" t="n">
        <x:v>0</x:v>
      </x:c>
      <x:c r="D14" s="67"/>
      <x:c r="E14" s="67" t="n">
        <x:v>1</x:v>
      </x:c>
      <x:c r="F14" s="65" t="str">
        <x:v>Supply-chain/EDI specialist implementation query outside the defined scope.</x:v>
      </x:c>
    </x:row>
    <x:row r="15">
      <x:c r="A15" s="65" t="str">
        <x:v>how does api-based edi work for supply chain integration</x:v>
      </x:c>
      <x:c r="B15" s="65" t="str">
        <x:v>how does api integration work</x:v>
      </x:c>
      <x:c r="C15" s="67" t="n">
        <x:v>10</x:v>
      </x:c>
      <x:c r="D15" s="67"/>
      <x:c r="E15" s="67" t="n">
        <x:v>1</x:v>
      </x:c>
      <x:c r="F15" s="65" t="str">
        <x:v>Supply-chain/EDI specialist implementation query outside the defined scope.</x:v>
      </x:c>
    </x:row>
    <x:row r="16">
      <x:c r="A16" s="65" t="str">
        <x:v>how does banking api integration work</x:v>
      </x:c>
      <x:c r="B16" s="65" t="str">
        <x:v>how does api integration work</x:v>
      </x:c>
      <x:c r="C16" s="67" t="n">
        <x:v>10</x:v>
      </x:c>
      <x:c r="D16" s="67" t="n">
        <x:v>0</x:v>
      </x:c>
      <x:c r="E16" s="67" t="n">
        <x:v>1</x:v>
      </x:c>
      <x:c r="F16" s="65" t="str">
        <x:v>Banking-domain specialist integration query outside the generalist scope.</x:v>
      </x:c>
    </x:row>
    <x:row r="17">
      <x:c r="A17" s="65" t="str">
        <x:v>how does open banking api integration work</x:v>
      </x:c>
      <x:c r="B17" s="65" t="str">
        <x:v>how does api integration work</x:v>
      </x:c>
      <x:c r="C17" s="67" t="n">
        <x:v>10</x:v>
      </x:c>
      <x:c r="D17" s="67"/>
      <x:c r="E17" s="67" t="n">
        <x:v>1</x:v>
      </x:c>
      <x:c r="F17" s="65" t="str">
        <x:v>Open-banking specialist integration query outside the generalist scope.</x:v>
      </x:c>
    </x:row>
    <x:row r="18">
      <x:c r="A18" s="65" t="str">
        <x:v>integration software</x:v>
      </x:c>
      <x:c r="B18" s="65" t="str">
        <x:v>how does api integration work</x:v>
      </x:c>
      <x:c r="C18" s="67" t="n">
        <x:v>1300</x:v>
      </x:c>
      <x:c r="D18" s="67" t="n">
        <x:v>140</x:v>
      </x:c>
      <x:c r="E18" s="67" t="n">
        <x:v>1</x:v>
      </x:c>
      <x:c r="F18" s="65" t="str">
        <x:v>Ambiguous commercial software category rather than a clear technical-learning query.</x:v>
      </x:c>
    </x:row>
    <x:row r="19">
      <x:c r="A19" s="65" t="str">
        <x:v>integrations</x:v>
      </x:c>
      <x:c r="B19" s="65" t="str">
        <x:v>how does api integration work</x:v>
      </x:c>
      <x:c r="C19" s="67" t="n">
        <x:v>3600</x:v>
      </x:c>
      <x:c r="D19" s="67" t="n">
        <x:v>1600</x:v>
      </x:c>
      <x:c r="E19" s="67" t="n">
        <x:v>1</x:v>
      </x:c>
      <x:c r="F19" s="65" t="str">
        <x:v>Too broad and semantically ambiguous to attribute to API or technical-fluency demand.</x:v>
      </x:c>
    </x:row>
    <x:row r="20">
      <x:c r="A20" s="65" t="str">
        <x:v>zapier integrations</x:v>
      </x:c>
      <x:c r="B20" s="65" t="str">
        <x:v>how does api integration work</x:v>
      </x:c>
      <x:c r="C20" s="67" t="n">
        <x:v>2400</x:v>
      </x:c>
      <x:c r="D20" s="67" t="n">
        <x:v>210</x:v>
      </x:c>
      <x:c r="E20" s="67" t="n">
        <x:v>1</x:v>
      </x:c>
      <x:c r="F20" s="65" t="str">
        <x:v>Tool marketplace/configuration intent rather than general technical-learning demand.</x:v>
      </x:c>
    </x:row>
    <x:row r="21">
      <x:c r="A21" s="65" t="str">
        <x:v>webhook vs websocket</x:v>
      </x:c>
      <x:c r="B21" s="65" t="str">
        <x:v>webhooks vs api</x:v>
      </x:c>
      <x:c r="C21" s="67" t="n">
        <x:v>260</x:v>
      </x:c>
      <x:c r="D21" s="67" t="n">
        <x:v>30</x:v>
      </x:c>
      <x:c r="E21" s="67" t="n">
        <x:v>1</x:v>
      </x:c>
      <x:c r="F21" s="65" t="str">
        <x:v>Real-time protocol implementation comparison with predominantly developer-specialist intent.</x:v>
      </x:c>
    </x:row>
    <x:row r="22">
      <x:c r="A22" s="65" t="str">
        <x:v>webhooks vs websockets</x:v>
      </x:c>
      <x:c r="B22" s="65" t="str">
        <x:v>webhooks vs api</x:v>
      </x:c>
      <x:c r="C22" s="67" t="n">
        <x:v>210</x:v>
      </x:c>
      <x:c r="D22" s="67" t="n">
        <x:v>30</x:v>
      </x:c>
      <x:c r="E22" s="67" t="n">
        <x:v>1</x:v>
      </x:c>
      <x:c r="F22" s="65" t="str">
        <x:v>Real-time protocol implementation comparison with predominantly developer-specialist intent.</x:v>
      </x:c>
    </x:row>
    <x:row r="23">
      <x:c r="A23" s="65" t="str">
        <x:v>websocket vs webhook</x:v>
      </x:c>
      <x:c r="B23" s="65" t="str">
        <x:v>webhooks vs api</x:v>
      </x:c>
      <x:c r="C23" s="67" t="n">
        <x:v>170</x:v>
      </x:c>
      <x:c r="D23" s="67" t="n">
        <x:v>20</x:v>
      </x:c>
      <x:c r="E23" s="67" t="n">
        <x:v>1</x:v>
      </x:c>
      <x:c r="F23" s="65" t="str">
        <x:v>Real-time protocol implementation comparison with predominantly developer-specialist intent.</x:v>
      </x:c>
    </x:row>
    <x:row r="24">
      <x:c r="A24" s="65" t="str">
        <x:v>ci/cd news</x:v>
      </x:c>
      <x:c r="B24" s="65" t="str">
        <x:v>how does ci cd pipeline work</x:v>
      </x:c>
      <x:c r="C24" s="67" t="n">
        <x:v>5400</x:v>
      </x:c>
      <x:c r="D24" s="67" t="n">
        <x:v>0</x:v>
      </x:c>
      <x:c r="E24" s="67" t="n">
        <x:v>1</x:v>
      </x:c>
      <x:c r="F24" s="65" t="str">
        <x:v>News/navigation intent and predominantly specialist DevOps audience.</x:v>
      </x:c>
    </x:row>
    <x:row r="25">
      <x:c r="A25" s="65" t="str">
        <x:v>continuous integration tools</x:v>
      </x:c>
      <x:c r="B25" s="65" t="str">
        <x:v>how does ci cd pipeline work</x:v>
      </x:c>
      <x:c r="C25" s="67" t="n">
        <x:v>14800</x:v>
      </x:c>
      <x:c r="D25" s="67" t="n">
        <x:v>140</x:v>
      </x:c>
      <x:c r="E25" s="67" t="n">
        <x:v>1</x:v>
      </x:c>
      <x:c r="F25" s="65" t="str">
        <x:v>Developer/DevOps tool-selection intent rather than general technical fluency.</x:v>
      </x:c>
    </x:row>
    <x:row r="26">
      <x:c r="A26" s="65" t="str">
        <x:v>r continuous integration</x:v>
      </x:c>
      <x:c r="B26" s="65" t="str">
        <x:v>how does ci cd pipeline work</x:v>
      </x:c>
      <x:c r="C26" s="67" t="n">
        <x:v>33100</x:v>
      </x:c>
      <x:c r="D26" s="67" t="n">
        <x:v>6600</x:v>
      </x:c>
      <x:c r="E26" s="67" t="n">
        <x:v>1</x:v>
      </x:c>
      <x:c r="F26" s="65" t="str">
        <x:v>Programming-language-specific CI query; specialist developer/data intent.</x:v>
      </x:c>
    </x:row>
    <x:row r="27">
      <x:c r="A27" s="65" t="str">
        <x:v>do i need two yoast liscences for production vs staging</x:v>
      </x:c>
      <x:c r="B27" s="65" t="str">
        <x:v>staging vs production</x:v>
      </x:c>
      <x:c r="C27" s="67" t="n">
        <x:v>0</x:v>
      </x:c>
      <x:c r="D27" s="67"/>
      <x:c r="E27" s="67" t="n">
        <x:v>1</x:v>
      </x:c>
      <x:c r="F27" s="65" t="str">
        <x:v>Product-specific configuration query with a typo; not a general learning need.</x:v>
      </x:c>
    </x:row>
    <x:row r="28">
      <x:c r="A28" s="65" t="str">
        <x:v>how to create rapidpro staging vs rapid pro production</x:v>
      </x:c>
      <x:c r="B28" s="65" t="str">
        <x:v>staging vs production</x:v>
      </x:c>
      <x:c r="C28" s="67" t="n">
        <x:v>0</x:v>
      </x:c>
      <x:c r="D28" s="67"/>
      <x:c r="E28" s="67" t="n">
        <x:v>1</x:v>
      </x:c>
      <x:c r="F28" s="65" t="str">
        <x:v>Product-specific configuration query, not general deployment learning.</x:v>
      </x:c>
    </x:row>
    <x:row r="29">
      <x:c r="A29" s="65" t="str">
        <x:v>how to use containers in staging vs production</x:v>
      </x:c>
      <x:c r="B29" s="65" t="str">
        <x:v>staging vs production</x:v>
      </x:c>
      <x:c r="C29" s="67" t="n">
        <x:v>0</x:v>
      </x:c>
      <x:c r="D29" s="67"/>
      <x:c r="E29" s="67" t="n">
        <x:v>1</x:v>
      </x:c>
      <x:c r="F29" s="65" t="str">
        <x:v>Container/DevOps implementation query outside the defined generalist scope.</x:v>
      </x:c>
    </x:row>
    <x:row r="30">
      <x:c r="A30" s="65" t="str">
        <x:v>what is prod</x:v>
      </x:c>
      <x:c r="B30" s="65" t="str">
        <x:v>staging vs production</x:v>
      </x:c>
      <x:c r="C30" s="67" t="n">
        <x:v>390</x:v>
      </x:c>
      <x:c r="D30" s="67" t="n">
        <x:v>70</x:v>
      </x:c>
      <x:c r="E30" s="67" t="n">
        <x:v>1</x:v>
      </x:c>
      <x:c r="F30" s="65" t="str">
        <x:v>Ambiguous shorthand with product, production and non-software meanings; volume cannot be attributed safely to deployment environments.</x:v>
      </x:c>
    </x:row>
    <x:row r="31">
      <x:c r="A31" s="65" t="str">
        <x:v>c.i.</x:v>
      </x:c>
      <x:c r="B31" s="65" t="str">
        <x:v>how does ci cd pipeline work</x:v>
      </x:c>
      <x:c r="C31" s="67" t="n">
        <x:v>6600</x:v>
      </x:c>
      <x:c r="D31" s="67" t="n">
        <x:v>110</x:v>
      </x:c>
      <x:c r="E31" s="67" t="n">
        <x:v>1</x:v>
      </x:c>
      <x:c r="F31" s="65" t="str">
        <x:v>Ambiguous abbreviation; volume cannot be attributed defensibly to CI/CD.</x:v>
      </x:c>
    </x:row>
    <x:row r="32">
      <x:c r="A32" s="65" t="str">
        <x:v>ci</x:v>
      </x:c>
      <x:c r="B32" s="65" t="str">
        <x:v>how does ci cd pipeline work</x:v>
      </x:c>
      <x:c r="C32" s="67" t="n">
        <x:v>74000</x:v>
      </x:c>
      <x:c r="D32" s="67" t="n">
        <x:v>22200</x:v>
      </x:c>
      <x:c r="E32" s="67" t="n">
        <x:v>1</x:v>
      </x:c>
      <x:c r="F32" s="65" t="str">
        <x:v>Ambiguous abbreviation with many non-CI/CD meanings.</x:v>
      </x:c>
    </x:row>
    <x:row r="33">
      <x:c r="A33" s="65" t="str">
        <x:v>deployment server</x:v>
      </x:c>
      <x:c r="B33" s="65" t="str">
        <x:v>staging vs production</x:v>
      </x:c>
      <x:c r="C33" s="67" t="n">
        <x:v>320</x:v>
      </x:c>
      <x:c r="D33" s="67" t="n">
        <x:v>140</x:v>
      </x:c>
      <x:c r="E33" s="67" t="n">
        <x:v>1</x:v>
      </x:c>
      <x:c r="F33" s="65" t="str">
        <x:v>Infrastructure implementation term with predominantly developer/operations intent.</x:v>
      </x:c>
    </x:row>
    <x:row r="34">
      <x:c r="A34" s="65" t="str">
        <x:v>what are application logs in sap</x:v>
      </x:c>
      <x:c r="B34" s="65" t="str">
        <x:v>what are application logs</x:v>
      </x:c>
      <x:c r="C34" s="67" t="n">
        <x:v>0</x:v>
      </x:c>
      <x:c r="D34" s="67"/>
      <x:c r="E34" s="67" t="n">
        <x:v>1</x:v>
      </x:c>
      <x:c r="F34" s="65" t="str">
        <x:v>SAP-specific administration query outside the generalist scope.</x:v>
      </x:c>
    </x:row>
    <x:row r="35">
      <x:c r="A35" s="65" t="str">
        <x:v>what are application logs vs infrastructure logs</x:v>
      </x:c>
      <x:c r="B35" s="65" t="str">
        <x:v>what are application logs</x:v>
      </x:c>
      <x:c r="C35" s="67" t="n">
        <x:v>0</x:v>
      </x:c>
      <x:c r="D35" s="67"/>
      <x:c r="E35" s="67" t="n">
        <x:v>1</x:v>
      </x:c>
      <x:c r="F35" s="65" t="str">
        <x:v>Observability/infrastructure-specialist comparison outside the defined depth.</x:v>
      </x:c>
    </x:row>
    <x:row r="36">
      <x:c r="A36" s="65" t="str">
        <x:v>what are windows application logs</x:v>
      </x:c>
      <x:c r="B36" s="65" t="str">
        <x:v>what are application logs</x:v>
      </x:c>
      <x:c r="C36" s="67" t="n">
        <x:v>0</x:v>
      </x:c>
      <x:c r="D36" s="67"/>
      <x:c r="E36" s="67" t="n">
        <x:v>1</x:v>
      </x:c>
      <x:c r="F36" s="65" t="str">
        <x:v>Operating-system administration query with specialist IT intent.</x:v>
      </x:c>
    </x:row>
    <x:row r="37">
      <x:c r="A37" s="65" t="str">
        <x:v>how long does it take a bed bug to reproduce</x:v>
      </x:c>
      <x:c r="B37" s="65" t="str">
        <x:v>how to reproduce a bug</x:v>
      </x:c>
      <x:c r="C37" s="67" t="n">
        <x:v>10</x:v>
      </x:c>
      <x:c r="D37" s="67"/>
      <x:c r="E37" s="67" t="n">
        <x:v>1</x:v>
      </x:c>
      <x:c r="F37" s="65" t="str">
        <x:v>Irrelevant biological meaning of ‘bug’ and ‘reproduce’.</x:v>
      </x:c>
    </x:row>
    <x:row r="38">
      <x:c r="A38" s="65" t="str">
        <x:v>what application are used for creating icons or logos</x:v>
      </x:c>
      <x:c r="B38" s="65" t="str">
        <x:v>what are application logs</x:v>
      </x:c>
      <x:c r="C38" s="67" t="n">
        <x:v>0</x:v>
      </x:c>
      <x:c r="D38" s="67"/>
      <x:c r="E38" s="67" t="n">
        <x:v>1</x:v>
      </x:c>
      <x:c r="F38" s="65" t="str">
        <x:v>Irrelevant semantic collision with ‘application logs’.</x:v>
      </x:c>
    </x:row>
    <x:row r="39">
      <x:c r="A39" s="65" t="str">
        <x:v>what are logs natural logs and applications</x:v>
      </x:c>
      <x:c r="B39" s="65" t="str">
        <x:v>what are application logs</x:v>
      </x:c>
      <x:c r="C39" s="67" t="n">
        <x:v>0</x:v>
      </x:c>
      <x:c r="D39" s="67"/>
      <x:c r="E39" s="67" t="n">
        <x:v>1</x:v>
      </x:c>
      <x:c r="F39" s="65" t="str">
        <x:v>Irrelevant mathematical meaning of logarithms.</x:v>
      </x:c>
    </x:row>
    <x:row r="40">
      <x:c r="A40" s="65" t="str">
        <x:v>what are some examples of mac keystroke logging applications</x:v>
      </x:c>
      <x:c r="B40" s="65" t="str">
        <x:v>what are application logs</x:v>
      </x:c>
      <x:c r="C40" s="67" t="n">
        <x:v>0</x:v>
      </x:c>
      <x:c r="D40" s="67"/>
      <x:c r="E40" s="67" t="n">
        <x:v>1</x:v>
      </x:c>
      <x:c r="F40" s="65" t="str">
        <x:v>Security/monitoring query outside the scope and not about application logs.</x:v>
      </x:c>
    </x:row>
    <x:row r="41">
      <x:c r="A41" s="65" t="str">
        <x:v>what are the applications of log amplifier</x:v>
      </x:c>
      <x:c r="B41" s="65" t="str">
        <x:v>what are application logs</x:v>
      </x:c>
      <x:c r="C41" s="67" t="n">
        <x:v>0</x:v>
      </x:c>
      <x:c r="D41" s="67"/>
      <x:c r="E41" s="67" t="n">
        <x:v>1</x:v>
      </x:c>
      <x:c r="F41" s="65" t="str">
        <x:v>Irrelevant electronics meaning of ‘log amplifier’.</x:v>
      </x:c>
    </x:row>
    <x:row r="42">
      <x:c r="A42" s="65" t="str">
        <x:v>what are the practical applications of hydraulic log splitters</x:v>
      </x:c>
      <x:c r="B42" s="65" t="str">
        <x:v>what are application logs</x:v>
      </x:c>
      <x:c r="C42" s="67" t="n">
        <x:v>0</x:v>
      </x:c>
      <x:c r="D42" s="67" t="n">
        <x:v>0</x:v>
      </x:c>
      <x:c r="E42" s="67" t="n">
        <x:v>1</x:v>
      </x:c>
      <x:c r="F42" s="65" t="str">
        <x:v>Irrelevant physical meaning of ‘log’.</x:v>
      </x:c>
    </x:row>
    <x:row r="43">
      <x:c r="A43" s="65" t="str">
        <x:v>most viable product</x:v>
      </x:c>
      <x:c r="B43" s="65" t="str">
        <x:v>mvp vs prototype vs poc</x:v>
      </x:c>
      <x:c r="C43" s="67" t="n">
        <x:v>2400</x:v>
      </x:c>
      <x:c r="D43" s="67" t="n">
        <x:v>70</x:v>
      </x:c>
      <x:c r="E43" s="67" t="n">
        <x:v>1</x:v>
      </x:c>
      <x:c r="F43" s="65" t="str">
        <x:v>Incorrect/noisy expansion of MVP; not a defensible query for the validated need.</x:v>
      </x:c>
    </x:row>
    <x:row r="44">
      <x:c r="A44" s="65" t="str">
        <x:v>mvp</x:v>
      </x:c>
      <x:c r="B44" s="65" t="str">
        <x:v>mvp vs prototype vs poc</x:v>
      </x:c>
      <x:c r="C44" s="67" t="n">
        <x:v>74000</x:v>
      </x:c>
      <x:c r="D44" s="67" t="n">
        <x:v>14800</x:v>
      </x:c>
      <x:c r="E44" s="67" t="n">
        <x:v>1</x:v>
      </x:c>
      <x:c r="F44" s="65" t="str">
        <x:v>Ambiguous acronym; the supplied SERP already shows substantial healthcare and sports contamination.</x:v>
      </x:c>
    </x:row>
    <x:row r="45">
      <x:c r="A45" s="65" t="str">
        <x:v>mvp meaning</x:v>
      </x:c>
      <x:c r="B45" s="65" t="str">
        <x:v>mvp vs prototype vs poc</x:v>
      </x:c>
      <x:c r="C45" s="67" t="n">
        <x:v>18100</x:v>
      </x:c>
      <x:c r="D45" s="67" t="n">
        <x:v>12100</x:v>
      </x:c>
      <x:c r="E45" s="67" t="n">
        <x:v>1</x:v>
      </x:c>
      <x:c r="F45" s="65" t="str">
        <x:v>Ambiguous acronym query; volume cannot be assigned reliably to minimum viable product.</x:v>
      </x:c>
    </x:row>
    <x:row r="46">
      <x:c r="A46" s="65" t="str">
        <x:v>mvp sportsplex</x:v>
      </x:c>
      <x:c r="B46" s="65" t="str">
        <x:v>mvp vs prototype vs poc</x:v>
      </x:c>
      <x:c r="C46" s="67" t="n">
        <x:v>3600</x:v>
      </x:c>
      <x:c r="D46" s="67" t="n">
        <x:v>20</x:v>
      </x:c>
      <x:c r="E46" s="67" t="n">
        <x:v>1</x:v>
      </x:c>
      <x:c r="F46" s="65" t="str">
        <x:v>Irrelevant sports-club entity match.</x:v>
      </x:c>
    </x:row>
    <x:row r="47">
      <x:c r="A47" s="65" t="str">
        <x:v>mvps</x:v>
      </x:c>
      <x:c r="B47" s="65" t="str">
        <x:v>mvp vs prototype vs poc</x:v>
      </x:c>
      <x:c r="C47" s="67" t="n">
        <x:v>2900</x:v>
      </x:c>
      <x:c r="D47" s="67" t="n">
        <x:v>1000</x:v>
      </x:c>
      <x:c r="E47" s="67" t="n">
        <x:v>1</x:v>
      </x:c>
      <x:c r="F47" s="65" t="str">
        <x:v>Ambiguous plural/acronym with strong sports and non-product meanings.</x:v>
      </x:c>
    </x:row>
    <x:row r="48">
      <x:c r="A48" s="65" t="str">
        <x:v>sportswear clubs</x:v>
      </x:c>
      <x:c r="B48" s="65" t="str">
        <x:v>mvp vs prototype vs poc</x:v>
      </x:c>
      <x:c r="C48" s="67" t="n">
        <x:v>18100</x:v>
      </x:c>
      <x:c r="D48" s="67" t="n">
        <x:v>5400</x:v>
      </x:c>
      <x:c r="E48" s="67" t="n">
        <x:v>1</x:v>
      </x:c>
      <x:c r="F48" s="65" t="str">
        <x:v>Irrelevant sports semantic match from the MVP seed.</x:v>
      </x:c>
    </x:row>
    <x:row r="49">
      <x:c r="A49" s="65" t="str">
        <x:v>sprots club</x:v>
      </x:c>
      <x:c r="B49" s="65" t="str">
        <x:v>mvp vs prototype vs poc</x:v>
      </x:c>
      <x:c r="C49" s="67" t="n">
        <x:v>3600</x:v>
      </x:c>
      <x:c r="D49" s="67" t="n">
        <x:v>0</x:v>
      </x:c>
      <x:c r="E49" s="67" t="n">
        <x:v>1</x:v>
      </x:c>
      <x:c r="F49" s="65" t="str">
        <x:v>Irrelevant and misspelled sports semantic match.</x:v>
      </x:c>
    </x:row>
    <x:row r="50">
      <x:c r="A50" s="65" t="str">
        <x:v>what does mvp mean</x:v>
      </x:c>
      <x:c r="B50" s="65" t="str">
        <x:v>mvp vs prototype vs poc</x:v>
      </x:c>
      <x:c r="C50" s="67" t="n">
        <x:v>5400</x:v>
      </x:c>
      <x:c r="D50" s="67" t="n">
        <x:v>2400</x:v>
      </x:c>
      <x:c r="E50" s="67" t="n">
        <x:v>1</x:v>
      </x:c>
      <x:c r="F50" s="65" t="str">
        <x:v>Ambiguous acronym query; volume cannot be assigned reliably to minimum viable product.</x:v>
      </x:c>
    </x:row>
    <x:row r="51">
      <x:c r="A51" s="65" t="str">
        <x:v>what is mvp</x:v>
      </x:c>
      <x:c r="B51" s="65" t="str">
        <x:v>mvp vs prototype vs poc</x:v>
      </x:c>
      <x:c r="C51" s="67" t="n">
        <x:v>3600</x:v>
      </x:c>
      <x:c r="D51" s="67" t="n">
        <x:v>1300</x:v>
      </x:c>
      <x:c r="E51" s="67" t="n">
        <x:v>1</x:v>
      </x:c>
      <x:c r="F51" s="65" t="str">
        <x:v>Ambiguous acronym query; supplied SERPs show substantial non-product intent.</x:v>
      </x:c>
    </x:row>
    <x:row r="52">
      <x:c r="A52" s="65" t="str">
        <x:v>chat gpt browser. to automate vibing coding</x:v>
      </x:c>
      <x:c r="B52" s="65" t="str">
        <x:v>vibe coding for beginners</x:v>
      </x:c>
      <x:c r="C52" s="67" t="n">
        <x:v>1900</x:v>
      </x:c>
      <x:c r="D52" s="67"/>
      <x:c r="E52" s="67" t="n">
        <x:v>1</x:v>
      </x:c>
      <x:c r="F52" s="65" t="str">
        <x:v>Malformed/noisy semantic match rather than a stable learning query.</x:v>
      </x:c>
    </x:row>
    <x:row r="53">
      <x:c r="A53" s="65" t="str">
        <x:v>vide coding</x:v>
      </x:c>
      <x:c r="B53" s="65" t="str">
        <x:v>vibe coding for beginners</x:v>
      </x:c>
      <x:c r="C53" s="67" t="n">
        <x:v>1300</x:v>
      </x:c>
      <x:c r="D53" s="67" t="n">
        <x:v>320</x:v>
      </x:c>
      <x:c r="E53" s="67" t="n">
        <x:v>1</x:v>
      </x:c>
      <x:c r="F53" s="65" t="str">
        <x:v>Obvious typo/noise; excluded rather than counted as independent vibe-coding demand.</x:v>
      </x:c>
    </x:row>
    <x:row r="54">
      <x:c r="A54" s="65" t="str">
        <x:v>with vibe</x:v>
      </x:c>
      <x:c r="B54" s="65" t="str">
        <x:v>how does vibe coding work</x:v>
      </x:c>
      <x:c r="C54" s="67" t="n">
        <x:v>8100</x:v>
      </x:c>
      <x:c r="D54" s="67" t="n">
        <x:v>1300</x:v>
      </x:c>
      <x:c r="E54" s="67" t="n">
        <x:v>1</x:v>
      </x:c>
      <x:c r="F54" s="65" t="str">
        <x:v>Ambiguous phrase with no defensible connection to vibe coding.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633a7fdeef26423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36" hidden="0" customWidth="1"/>
    <x:col min="9" max="9" width="36" hidden="0" customWidth="1"/>
  </x:cols>
  <x:sheetData>
    <x:row r="1" ht="32" customHeight="1">
      <x:c r="A1" s="3" t="str">
        <x:v>Raw Dataset A — seed keywords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7" t="str">
        <x:v>Verbatim supplied Semrush seed export; US and UK rows preserved.</x:v>
      </x:c>
      <x:c r="B2" s="7"/>
      <x:c r="C2" s="7"/>
      <x:c r="D2" s="7"/>
      <x:c r="E2" s="7"/>
      <x:c r="F2" s="7"/>
      <x:c r="G2" s="7"/>
      <x:c r="H2" s="7"/>
      <x:c r="I2" s="7"/>
    </x:row>
    <x:row r="3" ht="34" customHeight="1">
      <x:c r="A3" s="14" t="str">
        <x:v>seed_keyword</x:v>
      </x:c>
      <x:c r="B3" s="24" t="str">
        <x:v>country</x:v>
      </x:c>
      <x:c r="C3" s="24" t="str">
        <x:v>volume</x:v>
      </x:c>
      <x:c r="D3" s="24" t="str">
        <x:v>KDI</x:v>
      </x:c>
      <x:c r="E3" s="24" t="str">
        <x:v>CPC</x:v>
      </x:c>
      <x:c r="F3" s="24" t="str">
        <x:v>competition</x:v>
      </x:c>
      <x:c r="G3" s="24" t="str">
        <x:v>intent</x:v>
      </x:c>
      <x:c r="H3" s="24" t="str">
        <x:v>trend/history</x:v>
      </x:c>
      <x:c r="I3" s="15" t="str">
        <x:v>data_status</x:v>
      </x:c>
    </x:row>
    <x:row r="4">
      <x:c r="A4" s="64" t="str">
        <x:v>how web apps work for beginners</x:v>
      </x:c>
      <x:c r="B4" s="64" t="str">
        <x:v>US</x:v>
      </x:c>
      <x:c r="C4" s="64" t="str">
        <x:v>n/a (no row returned)</x:v>
      </x:c>
      <x:c r="D4" s="64" t="str">
        <x:v>n/a (no row returned)</x:v>
      </x:c>
      <x:c r="E4" s="64" t="str">
        <x:v>n/a (no row returned)</x:v>
      </x:c>
      <x:c r="F4" s="64" t="str">
        <x:v>n/a (no row returned)</x:v>
      </x:c>
      <x:c r="G4" s="64" t="str">
        <x:v>n/a (not returned by endpoint)</x:v>
      </x:c>
      <x:c r="H4" s="64" t="str">
        <x:v>n/a (not returned by endpoint)</x:v>
      </x:c>
      <x:c r="I4" s="64" t="str">
        <x:v>no_data</x:v>
      </x:c>
    </x:row>
    <x:row r="5">
      <x:c r="A5" s="65" t="str">
        <x:v>how web apps work for beginners</x:v>
      </x:c>
      <x:c r="B5" s="65" t="str">
        <x:v>UK</x:v>
      </x:c>
      <x:c r="C5" s="65" t="str">
        <x:v>n/a (no row returned)</x:v>
      </x:c>
      <x:c r="D5" s="65" t="str">
        <x:v>n/a (no row returned)</x:v>
      </x:c>
      <x:c r="E5" s="65" t="str">
        <x:v>n/a (no row returned)</x:v>
      </x:c>
      <x:c r="F5" s="65" t="str">
        <x:v>n/a (no row returned)</x:v>
      </x:c>
      <x:c r="G5" s="65" t="str">
        <x:v>n/a (not returned by endpoint)</x:v>
      </x:c>
      <x:c r="H5" s="65" t="str">
        <x:v>n/a (not returned by endpoint)</x:v>
      </x:c>
      <x:c r="I5" s="65" t="str">
        <x:v>no_data</x:v>
      </x:c>
    </x:row>
    <x:row r="6">
      <x:c r="A6" s="65" t="str">
        <x:v>what happens when you type a url in the browser</x:v>
      </x:c>
      <x:c r="B6" s="65" t="str">
        <x:v>US</x:v>
      </x:c>
      <x:c r="C6" s="65" t="str">
        <x:v>40/mo</x:v>
      </x:c>
      <x:c r="D6" s="65" t="str">
        <x:v>0/100</x:v>
      </x:c>
      <x:c r="E6" s="65" t="str">
        <x:v>$0</x:v>
      </x:c>
      <x:c r="F6" s="65" t="str">
        <x:v>0.33 (medium)</x:v>
      </x:c>
      <x:c r="G6" s="65" t="str">
        <x:v>n/a (not returned by endpoint)</x:v>
      </x:c>
      <x:c r="H6" s="65" t="str">
        <x:v>n/a (not returned by endpoint)</x:v>
      </x:c>
      <x:c r="I6" s="65" t="str">
        <x:v>ok</x:v>
      </x:c>
    </x:row>
    <x:row r="7">
      <x:c r="A7" s="65" t="str">
        <x:v>what happens when you type a url in the browser</x:v>
      </x:c>
      <x:c r="B7" s="65" t="str">
        <x:v>UK</x:v>
      </x:c>
      <x:c r="C7" s="65" t="str">
        <x:v>20/mo</x:v>
      </x:c>
      <x:c r="D7" s="65" t="str">
        <x:v>0/100</x:v>
      </x:c>
      <x:c r="E7" s="65" t="str">
        <x:v>$0</x:v>
      </x:c>
      <x:c r="F7" s="65" t="str">
        <x:v>0.33 (medium)</x:v>
      </x:c>
      <x:c r="G7" s="65" t="str">
        <x:v>n/a (not returned by endpoint)</x:v>
      </x:c>
      <x:c r="H7" s="65" t="str">
        <x:v>n/a (not returned by endpoint)</x:v>
      </x:c>
      <x:c r="I7" s="65" t="str">
        <x:v>ok</x:v>
      </x:c>
    </x:row>
    <x:row r="8">
      <x:c r="A8" s="65" t="str">
        <x:v>application architecture explained</x:v>
      </x:c>
      <x:c r="B8" s="65" t="str">
        <x:v>US</x:v>
      </x:c>
      <x:c r="C8" s="65" t="str">
        <x:v>0/mo</x:v>
      </x:c>
      <x:c r="D8" s="65" t="str">
        <x:v>0/100</x:v>
      </x:c>
      <x:c r="E8" s="65" t="str">
        <x:v>$0</x:v>
      </x:c>
      <x:c r="F8" s="65" t="str">
        <x:v>0 (low)</x:v>
      </x:c>
      <x:c r="G8" s="65" t="str">
        <x:v>n/a (not returned by endpoint)</x:v>
      </x:c>
      <x:c r="H8" s="65" t="str">
        <x:v>n/a (not returned by endpoint)</x:v>
      </x:c>
      <x:c r="I8" s="65" t="str">
        <x:v>ok</x:v>
      </x:c>
    </x:row>
    <x:row r="9">
      <x:c r="A9" s="65" t="str">
        <x:v>application architecture explained</x:v>
      </x:c>
      <x:c r="B9" s="65" t="str">
        <x:v>UK</x:v>
      </x:c>
      <x:c r="C9" s="65" t="str">
        <x:v>n/a (no row returned)</x:v>
      </x:c>
      <x:c r="D9" s="65" t="str">
        <x:v>n/a (no row returned)</x:v>
      </x:c>
      <x:c r="E9" s="65" t="str">
        <x:v>n/a (no row returned)</x:v>
      </x:c>
      <x:c r="F9" s="65" t="str">
        <x:v>n/a (no row returned)</x:v>
      </x:c>
      <x:c r="G9" s="65" t="str">
        <x:v>n/a (not returned by endpoint)</x:v>
      </x:c>
      <x:c r="H9" s="65" t="str">
        <x:v>n/a (not returned by endpoint)</x:v>
      </x:c>
      <x:c r="I9" s="65" t="str">
        <x:v>no_data</x:v>
      </x:c>
    </x:row>
    <x:row r="10">
      <x:c r="A10" s="65" t="str">
        <x:v>web application architecture for beginners</x:v>
      </x:c>
      <x:c r="B10" s="65" t="str">
        <x:v>US</x:v>
      </x:c>
      <x:c r="C10" s="65" t="str">
        <x:v>n/a (no row returned)</x:v>
      </x:c>
      <x:c r="D10" s="65" t="str">
        <x:v>n/a (no row returned)</x:v>
      </x:c>
      <x:c r="E10" s="65" t="str">
        <x:v>n/a (no row returned)</x:v>
      </x:c>
      <x:c r="F10" s="65" t="str">
        <x:v>n/a (no row returned)</x:v>
      </x:c>
      <x:c r="G10" s="65" t="str">
        <x:v>n/a (not returned by endpoint)</x:v>
      </x:c>
      <x:c r="H10" s="65" t="str">
        <x:v>n/a (not returned by endpoint)</x:v>
      </x:c>
      <x:c r="I10" s="65" t="str">
        <x:v>no_data</x:v>
      </x:c>
    </x:row>
    <x:row r="11">
      <x:c r="A11" s="65" t="str">
        <x:v>web application architecture for beginners</x:v>
      </x:c>
      <x:c r="B11" s="65" t="str">
        <x:v>UK</x:v>
      </x:c>
      <x:c r="C11" s="65" t="str">
        <x:v>n/a (no row returned)</x:v>
      </x:c>
      <x:c r="D11" s="65" t="str">
        <x:v>n/a (no row returned)</x:v>
      </x:c>
      <x:c r="E11" s="65" t="str">
        <x:v>n/a (no row returned)</x:v>
      </x:c>
      <x:c r="F11" s="65" t="str">
        <x:v>n/a (no row returned)</x:v>
      </x:c>
      <x:c r="G11" s="65" t="str">
        <x:v>n/a (not returned by endpoint)</x:v>
      </x:c>
      <x:c r="H11" s="65" t="str">
        <x:v>n/a (not returned by endpoint)</x:v>
      </x:c>
      <x:c r="I11" s="65" t="str">
        <x:v>no_data</x:v>
      </x:c>
    </x:row>
    <x:row r="12">
      <x:c r="A12" s="65" t="str">
        <x:v>frontend backend database</x:v>
      </x:c>
      <x:c r="B12" s="65" t="str">
        <x:v>US</x:v>
      </x:c>
      <x:c r="C12" s="65" t="str">
        <x:v>20/mo</x:v>
      </x:c>
      <x:c r="D12" s="65" t="str">
        <x:v>0/100</x:v>
      </x:c>
      <x:c r="E12" s="65" t="str">
        <x:v>$0</x:v>
      </x:c>
      <x:c r="F12" s="65" t="str">
        <x:v>0.05 (low)</x:v>
      </x:c>
      <x:c r="G12" s="65" t="str">
        <x:v>n/a (not returned by endpoint)</x:v>
      </x:c>
      <x:c r="H12" s="65" t="str">
        <x:v>n/a (not returned by endpoint)</x:v>
      </x:c>
      <x:c r="I12" s="65" t="str">
        <x:v>ok</x:v>
      </x:c>
    </x:row>
    <x:row r="13">
      <x:c r="A13" s="65" t="str">
        <x:v>frontend backend database</x:v>
      </x:c>
      <x:c r="B13" s="65" t="str">
        <x:v>UK</x:v>
      </x:c>
      <x:c r="C13" s="65" t="str">
        <x:v>20/mo</x:v>
      </x:c>
      <x:c r="D13" s="65" t="str">
        <x:v>0/100</x:v>
      </x:c>
      <x:c r="E13" s="65" t="str">
        <x:v>$0</x:v>
      </x:c>
      <x:c r="F13" s="65" t="str">
        <x:v>0.33 (medium)</x:v>
      </x:c>
      <x:c r="G13" s="65" t="str">
        <x:v>n/a (not returned by endpoint)</x:v>
      </x:c>
      <x:c r="H13" s="65" t="str">
        <x:v>n/a (not returned by endpoint)</x:v>
      </x:c>
      <x:c r="I13" s="65" t="str">
        <x:v>ok</x:v>
      </x:c>
    </x:row>
    <x:row r="14">
      <x:c r="A14" s="65" t="str">
        <x:v>frontend backend database flow</x:v>
      </x:c>
      <x:c r="B14" s="65" t="str">
        <x:v>US</x:v>
      </x:c>
      <x:c r="C14" s="65" t="str">
        <x:v>n/a (no row returned)</x:v>
      </x:c>
      <x:c r="D14" s="65" t="str">
        <x:v>n/a (no row returned)</x:v>
      </x:c>
      <x:c r="E14" s="65" t="str">
        <x:v>n/a (no row returned)</x:v>
      </x:c>
      <x:c r="F14" s="65" t="str">
        <x:v>n/a (no row returned)</x:v>
      </x:c>
      <x:c r="G14" s="65" t="str">
        <x:v>n/a (not returned by endpoint)</x:v>
      </x:c>
      <x:c r="H14" s="65" t="str">
        <x:v>n/a (not returned by endpoint)</x:v>
      </x:c>
      <x:c r="I14" s="65" t="str">
        <x:v>no_data</x:v>
      </x:c>
    </x:row>
    <x:row r="15">
      <x:c r="A15" s="65" t="str">
        <x:v>frontend backend database flow</x:v>
      </x:c>
      <x:c r="B15" s="65" t="str">
        <x:v>UK</x:v>
      </x:c>
      <x:c r="C15" s="65" t="str">
        <x:v>n/a (no row returned)</x:v>
      </x:c>
      <x:c r="D15" s="65" t="str">
        <x:v>n/a (no row returned)</x:v>
      </x:c>
      <x:c r="E15" s="65" t="str">
        <x:v>n/a (no row returned)</x:v>
      </x:c>
      <x:c r="F15" s="65" t="str">
        <x:v>n/a (no row returned)</x:v>
      </x:c>
      <x:c r="G15" s="65" t="str">
        <x:v>n/a (not returned by endpoint)</x:v>
      </x:c>
      <x:c r="H15" s="65" t="str">
        <x:v>n/a (not returned by endpoint)</x:v>
      </x:c>
      <x:c r="I15" s="65" t="str">
        <x:v>no_data</x:v>
      </x:c>
    </x:row>
    <x:row r="16">
      <x:c r="A16" s="65" t="str">
        <x:v>frontend vs backend vs database</x:v>
      </x:c>
      <x:c r="B16" s="65" t="str">
        <x:v>US</x:v>
      </x:c>
      <x:c r="C16" s="65" t="str">
        <x:v>0/mo</x:v>
      </x:c>
      <x:c r="D16" s="65" t="str">
        <x:v>0/100</x:v>
      </x:c>
      <x:c r="E16" s="65" t="str">
        <x:v>$0</x:v>
      </x:c>
      <x:c r="F16" s="65" t="str">
        <x:v>0 (low)</x:v>
      </x:c>
      <x:c r="G16" s="65" t="str">
        <x:v>n/a (not returned by endpoint)</x:v>
      </x:c>
      <x:c r="H16" s="65" t="str">
        <x:v>n/a (not returned by endpoint)</x:v>
      </x:c>
      <x:c r="I16" s="65" t="str">
        <x:v>ok</x:v>
      </x:c>
    </x:row>
    <x:row r="17">
      <x:c r="A17" s="65" t="str">
        <x:v>frontend vs backend vs database</x:v>
      </x:c>
      <x:c r="B17" s="65" t="str">
        <x:v>UK</x:v>
      </x:c>
      <x:c r="C17" s="65" t="str">
        <x:v>n/a (no row returned)</x:v>
      </x:c>
      <x:c r="D17" s="65" t="str">
        <x:v>n/a (no row returned)</x:v>
      </x:c>
      <x:c r="E17" s="65" t="str">
        <x:v>n/a (no row returned)</x:v>
      </x:c>
      <x:c r="F17" s="65" t="str">
        <x:v>n/a (no row returned)</x:v>
      </x:c>
      <x:c r="G17" s="65" t="str">
        <x:v>n/a (not returned by endpoint)</x:v>
      </x:c>
      <x:c r="H17" s="65" t="str">
        <x:v>n/a (not returned by endpoint)</x:v>
      </x:c>
      <x:c r="I17" s="65" t="str">
        <x:v>no_data</x:v>
      </x:c>
    </x:row>
    <x:row r="18">
      <x:c r="A18" s="65" t="str">
        <x:v>tech stack explained</x:v>
      </x:c>
      <x:c r="B18" s="65" t="str">
        <x:v>US</x:v>
      </x:c>
      <x:c r="C18" s="65" t="str">
        <x:v>10/mo</x:v>
      </x:c>
      <x:c r="D18" s="65" t="str">
        <x:v>0/100</x:v>
      </x:c>
      <x:c r="E18" s="65" t="str">
        <x:v>$0</x:v>
      </x:c>
      <x:c r="F18" s="65" t="str">
        <x:v>0.33 (medium)</x:v>
      </x:c>
      <x:c r="G18" s="65" t="str">
        <x:v>n/a (not returned by endpoint)</x:v>
      </x:c>
      <x:c r="H18" s="65" t="str">
        <x:v>n/a (not returned by endpoint)</x:v>
      </x:c>
      <x:c r="I18" s="65" t="str">
        <x:v>ok</x:v>
      </x:c>
    </x:row>
    <x:row r="19">
      <x:c r="A19" s="65" t="str">
        <x:v>tech stack explained</x:v>
      </x:c>
      <x:c r="B19" s="65" t="str">
        <x:v>UK</x:v>
      </x:c>
      <x:c r="C19" s="65" t="str">
        <x:v>10/mo</x:v>
      </x:c>
      <x:c r="D19" s="65" t="str">
        <x:v>0/100</x:v>
      </x:c>
      <x:c r="E19" s="65" t="str">
        <x:v>$0</x:v>
      </x:c>
      <x:c r="F19" s="65" t="str">
        <x:v>0.33 (medium)</x:v>
      </x:c>
      <x:c r="G19" s="65" t="str">
        <x:v>n/a (not returned by endpoint)</x:v>
      </x:c>
      <x:c r="H19" s="65" t="str">
        <x:v>n/a (not returned by endpoint)</x:v>
      </x:c>
      <x:c r="I19" s="65" t="str">
        <x:v>ok</x:v>
      </x:c>
    </x:row>
    <x:row r="20">
      <x:c r="A20" s="65" t="str">
        <x:v>how does an api work</x:v>
      </x:c>
      <x:c r="B20" s="65" t="str">
        <x:v>US</x:v>
      </x:c>
      <x:c r="C20" s="65" t="str">
        <x:v>720/mo</x:v>
      </x:c>
      <x:c r="D20" s="65" t="str">
        <x:v>46/100</x:v>
      </x:c>
      <x:c r="E20" s="65" t="str">
        <x:v>$55.83</x:v>
      </x:c>
      <x:c r="F20" s="65" t="str">
        <x:v>0.25 (low)</x:v>
      </x:c>
      <x:c r="G20" s="65" t="str">
        <x:v>n/a (not returned by endpoint)</x:v>
      </x:c>
      <x:c r="H20" s="65" t="str">
        <x:v>n/a (not returned by endpoint)</x:v>
      </x:c>
      <x:c r="I20" s="65" t="str">
        <x:v>ok</x:v>
      </x:c>
    </x:row>
    <x:row r="21">
      <x:c r="A21" s="65" t="str">
        <x:v>how does an api work</x:v>
      </x:c>
      <x:c r="B21" s="65" t="str">
        <x:v>UK</x:v>
      </x:c>
      <x:c r="C21" s="65" t="str">
        <x:v>90/mo</x:v>
      </x:c>
      <x:c r="D21" s="65" t="str">
        <x:v>48/100</x:v>
      </x:c>
      <x:c r="E21" s="65" t="str">
        <x:v>$8.13</x:v>
      </x:c>
      <x:c r="F21" s="65" t="str">
        <x:v>0.19 (low)</x:v>
      </x:c>
      <x:c r="G21" s="65" t="str">
        <x:v>n/a (not returned by endpoint)</x:v>
      </x:c>
      <x:c r="H21" s="65" t="str">
        <x:v>n/a (not returned by endpoint)</x:v>
      </x:c>
      <x:c r="I21" s="65" t="str">
        <x:v>ok</x:v>
      </x:c>
    </x:row>
    <x:row r="22">
      <x:c r="A22" s="65" t="str">
        <x:v>how does an api work for dummies</x:v>
      </x:c>
      <x:c r="B22" s="65" t="str">
        <x:v>US</x:v>
      </x:c>
      <x:c r="C22" s="65" t="str">
        <x:v>20/mo</x:v>
      </x:c>
      <x:c r="D22" s="65" t="str">
        <x:v>0/100</x:v>
      </x:c>
      <x:c r="E22" s="65" t="str">
        <x:v>$2.94</x:v>
      </x:c>
      <x:c r="F22" s="65" t="str">
        <x:v>0.44 (medium)</x:v>
      </x:c>
      <x:c r="G22" s="65" t="str">
        <x:v>n/a (not returned by endpoint)</x:v>
      </x:c>
      <x:c r="H22" s="65" t="str">
        <x:v>n/a (not returned by endpoint)</x:v>
      </x:c>
      <x:c r="I22" s="65" t="str">
        <x:v>ok</x:v>
      </x:c>
    </x:row>
    <x:row r="23">
      <x:c r="A23" s="65" t="str">
        <x:v>how does an api work for dummies</x:v>
      </x:c>
      <x:c r="B23" s="65" t="str">
        <x:v>UK</x:v>
      </x:c>
      <x:c r="C23" s="65" t="str">
        <x:v>20/mo</x:v>
      </x:c>
      <x:c r="D23" s="65" t="str">
        <x:v>0/100</x:v>
      </x:c>
      <x:c r="E23" s="65" t="str">
        <x:v>$0</x:v>
      </x:c>
      <x:c r="F23" s="65" t="str">
        <x:v>0.66 (high)</x:v>
      </x:c>
      <x:c r="G23" s="65" t="str">
        <x:v>n/a (not returned by endpoint)</x:v>
      </x:c>
      <x:c r="H23" s="65" t="str">
        <x:v>n/a (not returned by endpoint)</x:v>
      </x:c>
      <x:c r="I23" s="65" t="str">
        <x:v>ok</x:v>
      </x:c>
    </x:row>
    <x:row r="24">
      <x:c r="A24" s="65" t="str">
        <x:v>how does an api work with a database</x:v>
      </x:c>
      <x:c r="B24" s="65" t="str">
        <x:v>US</x:v>
      </x:c>
      <x:c r="C24" s="65" t="str">
        <x:v>20/mo</x:v>
      </x:c>
      <x:c r="D24" s="65" t="str">
        <x:v>0/100</x:v>
      </x:c>
      <x:c r="E24" s="65" t="str">
        <x:v>$0</x:v>
      </x:c>
      <x:c r="F24" s="65" t="str">
        <x:v>0.17 (low)</x:v>
      </x:c>
      <x:c r="G24" s="65" t="str">
        <x:v>n/a (not returned by endpoint)</x:v>
      </x:c>
      <x:c r="H24" s="65" t="str">
        <x:v>n/a (not returned by endpoint)</x:v>
      </x:c>
      <x:c r="I24" s="65" t="str">
        <x:v>ok</x:v>
      </x:c>
    </x:row>
    <x:row r="25">
      <x:c r="A25" s="65" t="str">
        <x:v>how does an api work with a database</x:v>
      </x:c>
      <x:c r="B25" s="65" t="str">
        <x:v>UK</x:v>
      </x:c>
      <x:c r="C25" s="65" t="str">
        <x:v>20/mo</x:v>
      </x:c>
      <x:c r="D25" s="65" t="str">
        <x:v>0/100</x:v>
      </x:c>
      <x:c r="E25" s="65" t="str">
        <x:v>$0</x:v>
      </x:c>
      <x:c r="F25" s="65" t="str">
        <x:v>0.29 (low)</x:v>
      </x:c>
      <x:c r="G25" s="65" t="str">
        <x:v>n/a (not returned by endpoint)</x:v>
      </x:c>
      <x:c r="H25" s="65" t="str">
        <x:v>n/a (not returned by endpoint)</x:v>
      </x:c>
      <x:c r="I25" s="65" t="str">
        <x:v>ok</x:v>
      </x:c>
    </x:row>
    <x:row r="26">
      <x:c r="A26" s="65" t="str">
        <x:v>what is an api and how does it work</x:v>
      </x:c>
      <x:c r="B26" s="65" t="str">
        <x:v>US</x:v>
      </x:c>
      <x:c r="C26" s="65" t="str">
        <x:v>210/mo</x:v>
      </x:c>
      <x:c r="D26" s="65" t="str">
        <x:v>55/100</x:v>
      </x:c>
      <x:c r="E26" s="65" t="str">
        <x:v>$9.12</x:v>
      </x:c>
      <x:c r="F26" s="65" t="str">
        <x:v>0.25 (low)</x:v>
      </x:c>
      <x:c r="G26" s="65" t="str">
        <x:v>n/a (not returned by endpoint)</x:v>
      </x:c>
      <x:c r="H26" s="65" t="str">
        <x:v>n/a (not returned by endpoint)</x:v>
      </x:c>
      <x:c r="I26" s="65" t="str">
        <x:v>ok</x:v>
      </x:c>
    </x:row>
    <x:row r="27">
      <x:c r="A27" s="65" t="str">
        <x:v>what is an api and how does it work</x:v>
      </x:c>
      <x:c r="B27" s="65" t="str">
        <x:v>UK</x:v>
      </x:c>
      <x:c r="C27" s="65" t="str">
        <x:v>20/mo</x:v>
      </x:c>
      <x:c r="D27" s="65" t="str">
        <x:v>0/100</x:v>
      </x:c>
      <x:c r="E27" s="65" t="str">
        <x:v>$8.15</x:v>
      </x:c>
      <x:c r="F27" s="65" t="str">
        <x:v>0.24 (low)</x:v>
      </x:c>
      <x:c r="G27" s="65" t="str">
        <x:v>n/a (not returned by endpoint)</x:v>
      </x:c>
      <x:c r="H27" s="65" t="str">
        <x:v>n/a (not returned by endpoint)</x:v>
      </x:c>
      <x:c r="I27" s="65" t="str">
        <x:v>ok</x:v>
      </x:c>
    </x:row>
    <x:row r="28">
      <x:c r="A28" s="65" t="str">
        <x:v>api explained simply</x:v>
      </x:c>
      <x:c r="B28" s="65" t="str">
        <x:v>US</x:v>
      </x:c>
      <x:c r="C28" s="65" t="str">
        <x:v>20/mo</x:v>
      </x:c>
      <x:c r="D28" s="65" t="str">
        <x:v>0/100</x:v>
      </x:c>
      <x:c r="E28" s="65" t="str">
        <x:v>$3.34</x:v>
      </x:c>
      <x:c r="F28" s="65" t="str">
        <x:v>0.14 (low)</x:v>
      </x:c>
      <x:c r="G28" s="65" t="str">
        <x:v>n/a (not returned by endpoint)</x:v>
      </x:c>
      <x:c r="H28" s="65" t="str">
        <x:v>n/a (not returned by endpoint)</x:v>
      </x:c>
      <x:c r="I28" s="65" t="str">
        <x:v>ok</x:v>
      </x:c>
    </x:row>
    <x:row r="29">
      <x:c r="A29" s="65" t="str">
        <x:v>api explained simply</x:v>
      </x:c>
      <x:c r="B29" s="65" t="str">
        <x:v>UK</x:v>
      </x:c>
      <x:c r="C29" s="65" t="str">
        <x:v>20/mo</x:v>
      </x:c>
      <x:c r="D29" s="65" t="str">
        <x:v>0/100</x:v>
      </x:c>
      <x:c r="E29" s="65" t="str">
        <x:v>$0</x:v>
      </x:c>
      <x:c r="F29" s="65" t="str">
        <x:v>0.18 (low)</x:v>
      </x:c>
      <x:c r="G29" s="65" t="str">
        <x:v>n/a (not returned by endpoint)</x:v>
      </x:c>
      <x:c r="H29" s="65" t="str">
        <x:v>n/a (not returned by endpoint)</x:v>
      </x:c>
      <x:c r="I29" s="65" t="str">
        <x:v>ok</x:v>
      </x:c>
    </x:row>
    <x:row r="30">
      <x:c r="A30" s="65" t="str">
        <x:v>api explained with real world example</x:v>
      </x:c>
      <x:c r="B30" s="65" t="str">
        <x:v>US</x:v>
      </x:c>
      <x:c r="C30" s="65" t="str">
        <x:v>n/a (no row returned)</x:v>
      </x:c>
      <x:c r="D30" s="65" t="str">
        <x:v>n/a (no row returned)</x:v>
      </x:c>
      <x:c r="E30" s="65" t="str">
        <x:v>n/a (no row returned)</x:v>
      </x:c>
      <x:c r="F30" s="65" t="str">
        <x:v>n/a (no row returned)</x:v>
      </x:c>
      <x:c r="G30" s="65" t="str">
        <x:v>n/a (not returned by endpoint)</x:v>
      </x:c>
      <x:c r="H30" s="65" t="str">
        <x:v>n/a (not returned by endpoint)</x:v>
      </x:c>
      <x:c r="I30" s="65" t="str">
        <x:v>no_data</x:v>
      </x:c>
    </x:row>
    <x:row r="31">
      <x:c r="A31" s="65" t="str">
        <x:v>api explained with real world example</x:v>
      </x:c>
      <x:c r="B31" s="65" t="str">
        <x:v>UK</x:v>
      </x:c>
      <x:c r="C31" s="65" t="str">
        <x:v>n/a (no row returned)</x:v>
      </x:c>
      <x:c r="D31" s="65" t="str">
        <x:v>n/a (no row returned)</x:v>
      </x:c>
      <x:c r="E31" s="65" t="str">
        <x:v>n/a (no row returned)</x:v>
      </x:c>
      <x:c r="F31" s="65" t="str">
        <x:v>n/a (no row returned)</x:v>
      </x:c>
      <x:c r="G31" s="65" t="str">
        <x:v>n/a (not returned by endpoint)</x:v>
      </x:c>
      <x:c r="H31" s="65" t="str">
        <x:v>n/a (not returned by endpoint)</x:v>
      </x:c>
      <x:c r="I31" s="65" t="str">
        <x:v>no_data</x:v>
      </x:c>
    </x:row>
    <x:row r="32">
      <x:c r="A32" s="65" t="str">
        <x:v>api integration explained</x:v>
      </x:c>
      <x:c r="B32" s="65" t="str">
        <x:v>US</x:v>
      </x:c>
      <x:c r="C32" s="65" t="str">
        <x:v>20/mo</x:v>
      </x:c>
      <x:c r="D32" s="65" t="str">
        <x:v>0/100</x:v>
      </x:c>
      <x:c r="E32" s="65" t="str">
        <x:v>$3.72</x:v>
      </x:c>
      <x:c r="F32" s="65" t="str">
        <x:v>0.49 (medium)</x:v>
      </x:c>
      <x:c r="G32" s="65" t="str">
        <x:v>n/a (not returned by endpoint)</x:v>
      </x:c>
      <x:c r="H32" s="65" t="str">
        <x:v>n/a (not returned by endpoint)</x:v>
      </x:c>
      <x:c r="I32" s="65" t="str">
        <x:v>ok</x:v>
      </x:c>
    </x:row>
    <x:row r="33">
      <x:c r="A33" s="65" t="str">
        <x:v>api integration explained</x:v>
      </x:c>
      <x:c r="B33" s="65" t="str">
        <x:v>UK</x:v>
      </x:c>
      <x:c r="C33" s="65" t="str">
        <x:v>20/mo</x:v>
      </x:c>
      <x:c r="D33" s="65" t="str">
        <x:v>0/100</x:v>
      </x:c>
      <x:c r="E33" s="65" t="str">
        <x:v>$0</x:v>
      </x:c>
      <x:c r="F33" s="65" t="str">
        <x:v>0.33 (medium)</x:v>
      </x:c>
      <x:c r="G33" s="65" t="str">
        <x:v>n/a (not returned by endpoint)</x:v>
      </x:c>
      <x:c r="H33" s="65" t="str">
        <x:v>n/a (not returned by endpoint)</x:v>
      </x:c>
      <x:c r="I33" s="65" t="str">
        <x:v>ok</x:v>
      </x:c>
    </x:row>
    <x:row r="34">
      <x:c r="A34" s="65" t="str">
        <x:v>how does api integration work</x:v>
      </x:c>
      <x:c r="B34" s="65" t="str">
        <x:v>US</x:v>
      </x:c>
      <x:c r="C34" s="65" t="str">
        <x:v>110/mo</x:v>
      </x:c>
      <x:c r="D34" s="65" t="str">
        <x:v>35/100</x:v>
      </x:c>
      <x:c r="E34" s="65" t="str">
        <x:v>$51.27</x:v>
      </x:c>
      <x:c r="F34" s="65" t="str">
        <x:v>0.15 (low)</x:v>
      </x:c>
      <x:c r="G34" s="65" t="str">
        <x:v>n/a (not returned by endpoint)</x:v>
      </x:c>
      <x:c r="H34" s="65" t="str">
        <x:v>n/a (not returned by endpoint)</x:v>
      </x:c>
      <x:c r="I34" s="65" t="str">
        <x:v>ok</x:v>
      </x:c>
    </x:row>
    <x:row r="35">
      <x:c r="A35" s="65" t="str">
        <x:v>how does api integration work</x:v>
      </x:c>
      <x:c r="B35" s="65" t="str">
        <x:v>UK</x:v>
      </x:c>
      <x:c r="C35" s="65" t="str">
        <x:v>30/mo</x:v>
      </x:c>
      <x:c r="D35" s="65" t="str">
        <x:v>0/100</x:v>
      </x:c>
      <x:c r="E35" s="65" t="str">
        <x:v>$11.36</x:v>
      </x:c>
      <x:c r="F35" s="65" t="str">
        <x:v>0.27 (low)</x:v>
      </x:c>
      <x:c r="G35" s="65" t="str">
        <x:v>n/a (not returned by endpoint)</x:v>
      </x:c>
      <x:c r="H35" s="65" t="str">
        <x:v>n/a (not returned by endpoint)</x:v>
      </x:c>
      <x:c r="I35" s="65" t="str">
        <x:v>ok</x:v>
      </x:c>
    </x:row>
    <x:row r="36">
      <x:c r="A36" s="65" t="str">
        <x:v>webhook explained simply</x:v>
      </x:c>
      <x:c r="B36" s="65" t="str">
        <x:v>US</x:v>
      </x:c>
      <x:c r="C36" s="65" t="str">
        <x:v>0/mo</x:v>
      </x:c>
      <x:c r="D36" s="65" t="str">
        <x:v>0/100</x:v>
      </x:c>
      <x:c r="E36" s="65" t="str">
        <x:v>$0</x:v>
      </x:c>
      <x:c r="F36" s="65" t="str">
        <x:v>0 (low)</x:v>
      </x:c>
      <x:c r="G36" s="65" t="str">
        <x:v>n/a (not returned by endpoint)</x:v>
      </x:c>
      <x:c r="H36" s="65" t="str">
        <x:v>n/a (not returned by endpoint)</x:v>
      </x:c>
      <x:c r="I36" s="65" t="str">
        <x:v>ok</x:v>
      </x:c>
    </x:row>
    <x:row r="37">
      <x:c r="A37" s="65" t="str">
        <x:v>webhook explained simply</x:v>
      </x:c>
      <x:c r="B37" s="65" t="str">
        <x:v>UK</x:v>
      </x:c>
      <x:c r="C37" s="65" t="str">
        <x:v>n/a (no row returned)</x:v>
      </x:c>
      <x:c r="D37" s="65" t="str">
        <x:v>n/a (no row returned)</x:v>
      </x:c>
      <x:c r="E37" s="65" t="str">
        <x:v>n/a (no row returned)</x:v>
      </x:c>
      <x:c r="F37" s="65" t="str">
        <x:v>n/a (no row returned)</x:v>
      </x:c>
      <x:c r="G37" s="65" t="str">
        <x:v>n/a (not returned by endpoint)</x:v>
      </x:c>
      <x:c r="H37" s="65" t="str">
        <x:v>n/a (not returned by endpoint)</x:v>
      </x:c>
      <x:c r="I37" s="65" t="str">
        <x:v>no_data</x:v>
      </x:c>
    </x:row>
    <x:row r="38">
      <x:c r="A38" s="65" t="str">
        <x:v>webhooks vs api</x:v>
      </x:c>
      <x:c r="B38" s="65" t="str">
        <x:v>US</x:v>
      </x:c>
      <x:c r="C38" s="65" t="str">
        <x:v>720/mo</x:v>
      </x:c>
      <x:c r="D38" s="65" t="str">
        <x:v>30/100</x:v>
      </x:c>
      <x:c r="E38" s="65" t="str">
        <x:v>$0.79</x:v>
      </x:c>
      <x:c r="F38" s="65" t="str">
        <x:v>0.09 (low)</x:v>
      </x:c>
      <x:c r="G38" s="65" t="str">
        <x:v>n/a (not returned by endpoint)</x:v>
      </x:c>
      <x:c r="H38" s="65" t="str">
        <x:v>n/a (not returned by endpoint)</x:v>
      </x:c>
      <x:c r="I38" s="65" t="str">
        <x:v>ok</x:v>
      </x:c>
    </x:row>
    <x:row r="39">
      <x:c r="A39" s="65" t="str">
        <x:v>webhooks vs api</x:v>
      </x:c>
      <x:c r="B39" s="65" t="str">
        <x:v>UK</x:v>
      </x:c>
      <x:c r="C39" s="65" t="str">
        <x:v>40/mo</x:v>
      </x:c>
      <x:c r="D39" s="65" t="str">
        <x:v>0/100</x:v>
      </x:c>
      <x:c r="E39" s="65" t="str">
        <x:v>$3.72</x:v>
      </x:c>
      <x:c r="F39" s="65" t="str">
        <x:v>0.11 (low)</x:v>
      </x:c>
      <x:c r="G39" s="65" t="str">
        <x:v>n/a (not returned by endpoint)</x:v>
      </x:c>
      <x:c r="H39" s="65" t="str">
        <x:v>n/a (not returned by endpoint)</x:v>
      </x:c>
      <x:c r="I39" s="65" t="str">
        <x:v>ok</x:v>
      </x:c>
    </x:row>
    <x:row r="40">
      <x:c r="A40" s="65" t="str">
        <x:v>What is the difference between API and webhook?</x:v>
      </x:c>
      <x:c r="B40" s="65" t="str">
        <x:v>US</x:v>
      </x:c>
      <x:c r="C40" s="65" t="str">
        <x:v>20/mo</x:v>
      </x:c>
      <x:c r="D40" s="65" t="str">
        <x:v>0/100</x:v>
      </x:c>
      <x:c r="E40" s="65" t="str">
        <x:v>$0</x:v>
      </x:c>
      <x:c r="F40" s="65" t="str">
        <x:v>0.07 (low)</x:v>
      </x:c>
      <x:c r="G40" s="65" t="str">
        <x:v>n/a (not returned by endpoint)</x:v>
      </x:c>
      <x:c r="H40" s="65" t="str">
        <x:v>n/a (not returned by endpoint)</x:v>
      </x:c>
      <x:c r="I40" s="65" t="str">
        <x:v>ok</x:v>
      </x:c>
    </x:row>
    <x:row r="41">
      <x:c r="A41" s="65" t="str">
        <x:v>What is the difference between API and webhook?</x:v>
      </x:c>
      <x:c r="B41" s="65" t="str">
        <x:v>UK</x:v>
      </x:c>
      <x:c r="C41" s="65" t="str">
        <x:v>20/mo</x:v>
      </x:c>
      <x:c r="D41" s="65" t="str">
        <x:v>0/100</x:v>
      </x:c>
      <x:c r="E41" s="65" t="str">
        <x:v>$0</x:v>
      </x:c>
      <x:c r="F41" s="65" t="str">
        <x:v>0.14 (low)</x:v>
      </x:c>
      <x:c r="G41" s="65" t="str">
        <x:v>n/a (not returned by endpoint)</x:v>
      </x:c>
      <x:c r="H41" s="65" t="str">
        <x:v>n/a (not returned by endpoint)</x:v>
      </x:c>
      <x:c r="I41" s="65" t="str">
        <x:v>ok</x:v>
      </x:c>
    </x:row>
    <x:row r="42">
      <x:c r="A42" s="65" t="str">
        <x:v>http status codes explained</x:v>
      </x:c>
      <x:c r="B42" s="65" t="str">
        <x:v>US</x:v>
      </x:c>
      <x:c r="C42" s="65" t="str">
        <x:v>20/mo</x:v>
      </x:c>
      <x:c r="D42" s="65" t="str">
        <x:v>0/100</x:v>
      </x:c>
      <x:c r="E42" s="65" t="str">
        <x:v>$0</x:v>
      </x:c>
      <x:c r="F42" s="65" t="str">
        <x:v>0.01 (low)</x:v>
      </x:c>
      <x:c r="G42" s="65" t="str">
        <x:v>n/a (not returned by endpoint)</x:v>
      </x:c>
      <x:c r="H42" s="65" t="str">
        <x:v>n/a (not returned by endpoint)</x:v>
      </x:c>
      <x:c r="I42" s="65" t="str">
        <x:v>ok</x:v>
      </x:c>
    </x:row>
    <x:row r="43">
      <x:c r="A43" s="65" t="str">
        <x:v>http status codes explained</x:v>
      </x:c>
      <x:c r="B43" s="65" t="str">
        <x:v>UK</x:v>
      </x:c>
      <x:c r="C43" s="65" t="str">
        <x:v>20/mo</x:v>
      </x:c>
      <x:c r="D43" s="65" t="str">
        <x:v>0/100</x:v>
      </x:c>
      <x:c r="E43" s="65" t="str">
        <x:v>$0</x:v>
      </x:c>
      <x:c r="F43" s="65" t="str">
        <x:v>0 (low)</x:v>
      </x:c>
      <x:c r="G43" s="65" t="str">
        <x:v>n/a (not returned by endpoint)</x:v>
      </x:c>
      <x:c r="H43" s="65" t="str">
        <x:v>n/a (not returned by endpoint)</x:v>
      </x:c>
      <x:c r="I43" s="65" t="str">
        <x:v>ok</x:v>
      </x:c>
    </x:row>
    <x:row r="44">
      <x:c r="A44" s="65" t="str">
        <x:v>how does software deployment work</x:v>
      </x:c>
      <x:c r="B44" s="65" t="str">
        <x:v>US</x:v>
      </x:c>
      <x:c r="C44" s="65" t="str">
        <x:v>0/mo</x:v>
      </x:c>
      <x:c r="D44" s="65" t="str">
        <x:v>0/100</x:v>
      </x:c>
      <x:c r="E44" s="65" t="str">
        <x:v>$0</x:v>
      </x:c>
      <x:c r="F44" s="65" t="str">
        <x:v>0 (low)</x:v>
      </x:c>
      <x:c r="G44" s="65" t="str">
        <x:v>n/a (not returned by endpoint)</x:v>
      </x:c>
      <x:c r="H44" s="65" t="str">
        <x:v>n/a (not returned by endpoint)</x:v>
      </x:c>
      <x:c r="I44" s="65" t="str">
        <x:v>ok</x:v>
      </x:c>
    </x:row>
    <x:row r="45">
      <x:c r="A45" s="65" t="str">
        <x:v>how does software deployment work</x:v>
      </x:c>
      <x:c r="B45" s="65" t="str">
        <x:v>UK</x:v>
      </x:c>
      <x:c r="C45" s="65" t="str">
        <x:v>0/mo</x:v>
      </x:c>
      <x:c r="D45" s="65" t="str">
        <x:v>0/100</x:v>
      </x:c>
      <x:c r="E45" s="65" t="str">
        <x:v>$0</x:v>
      </x:c>
      <x:c r="F45" s="65" t="str">
        <x:v>0 (low)</x:v>
      </x:c>
      <x:c r="G45" s="65" t="str">
        <x:v>n/a (not returned by endpoint)</x:v>
      </x:c>
      <x:c r="H45" s="65" t="str">
        <x:v>n/a (not returned by endpoint)</x:v>
      </x:c>
      <x:c r="I45" s="65" t="str">
        <x:v>ok</x:v>
      </x:c>
    </x:row>
    <x:row r="46">
      <x:c r="A46" s="65" t="str">
        <x:v>ci cd explained simply</x:v>
      </x:c>
      <x:c r="B46" s="65" t="str">
        <x:v>US</x:v>
      </x:c>
      <x:c r="C46" s="65" t="str">
        <x:v>10/mo</x:v>
      </x:c>
      <x:c r="D46" s="65" t="str">
        <x:v>0/100</x:v>
      </x:c>
      <x:c r="E46" s="65" t="str">
        <x:v>$0</x:v>
      </x:c>
      <x:c r="F46" s="65" t="str">
        <x:v>0.1 (low)</x:v>
      </x:c>
      <x:c r="G46" s="65" t="str">
        <x:v>n/a (not returned by endpoint)</x:v>
      </x:c>
      <x:c r="H46" s="65" t="str">
        <x:v>n/a (not returned by endpoint)</x:v>
      </x:c>
      <x:c r="I46" s="65" t="str">
        <x:v>ok</x:v>
      </x:c>
    </x:row>
    <x:row r="47">
      <x:c r="A47" s="65" t="str">
        <x:v>ci cd explained simply</x:v>
      </x:c>
      <x:c r="B47" s="65" t="str">
        <x:v>UK</x:v>
      </x:c>
      <x:c r="C47" s="65" t="str">
        <x:v>10/mo</x:v>
      </x:c>
      <x:c r="D47" s="65" t="str">
        <x:v>0/100</x:v>
      </x:c>
      <x:c r="E47" s="65" t="str">
        <x:v>$0</x:v>
      </x:c>
      <x:c r="F47" s="65" t="str">
        <x:v>0 (low)</x:v>
      </x:c>
      <x:c r="G47" s="65" t="str">
        <x:v>n/a (not returned by endpoint)</x:v>
      </x:c>
      <x:c r="H47" s="65" t="str">
        <x:v>n/a (not returned by endpoint)</x:v>
      </x:c>
      <x:c r="I47" s="65" t="str">
        <x:v>ok</x:v>
      </x:c>
    </x:row>
    <x:row r="48">
      <x:c r="A48" s="65" t="str">
        <x:v>ci cd explained for beginners</x:v>
      </x:c>
      <x:c r="B48" s="65" t="str">
        <x:v>US</x:v>
      </x:c>
      <x:c r="C48" s="65" t="str">
        <x:v>0/mo</x:v>
      </x:c>
      <x:c r="D48" s="65" t="str">
        <x:v>0/100</x:v>
      </x:c>
      <x:c r="E48" s="65" t="str">
        <x:v>$0</x:v>
      </x:c>
      <x:c r="F48" s="65" t="str">
        <x:v>0 (low)</x:v>
      </x:c>
      <x:c r="G48" s="65" t="str">
        <x:v>n/a (not returned by endpoint)</x:v>
      </x:c>
      <x:c r="H48" s="65" t="str">
        <x:v>n/a (not returned by endpoint)</x:v>
      </x:c>
      <x:c r="I48" s="65" t="str">
        <x:v>ok</x:v>
      </x:c>
    </x:row>
    <x:row r="49">
      <x:c r="A49" s="65" t="str">
        <x:v>ci cd explained for beginners</x:v>
      </x:c>
      <x:c r="B49" s="65" t="str">
        <x:v>UK</x:v>
      </x:c>
      <x:c r="C49" s="65" t="str">
        <x:v>n/a (no row returned)</x:v>
      </x:c>
      <x:c r="D49" s="65" t="str">
        <x:v>n/a (no row returned)</x:v>
      </x:c>
      <x:c r="E49" s="65" t="str">
        <x:v>n/a (no row returned)</x:v>
      </x:c>
      <x:c r="F49" s="65" t="str">
        <x:v>n/a (no row returned)</x:v>
      </x:c>
      <x:c r="G49" s="65" t="str">
        <x:v>n/a (not returned by endpoint)</x:v>
      </x:c>
      <x:c r="H49" s="65" t="str">
        <x:v>n/a (not returned by endpoint)</x:v>
      </x:c>
      <x:c r="I49" s="65" t="str">
        <x:v>no_data</x:v>
      </x:c>
    </x:row>
    <x:row r="50">
      <x:c r="A50" s="65" t="str">
        <x:v>how does ci cd pipeline work</x:v>
      </x:c>
      <x:c r="B50" s="65" t="str">
        <x:v>US</x:v>
      </x:c>
      <x:c r="C50" s="65" t="str">
        <x:v>40/mo</x:v>
      </x:c>
      <x:c r="D50" s="65" t="str">
        <x:v>45/100</x:v>
      </x:c>
      <x:c r="E50" s="65" t="str">
        <x:v>$1.7</x:v>
      </x:c>
      <x:c r="F50" s="65" t="str">
        <x:v>0.24 (low)</x:v>
      </x:c>
      <x:c r="G50" s="65" t="str">
        <x:v>n/a (not returned by endpoint)</x:v>
      </x:c>
      <x:c r="H50" s="65" t="str">
        <x:v>n/a (not returned by endpoint)</x:v>
      </x:c>
      <x:c r="I50" s="65" t="str">
        <x:v>ok</x:v>
      </x:c>
    </x:row>
    <x:row r="51">
      <x:c r="A51" s="65" t="str">
        <x:v>how does ci cd pipeline work</x:v>
      </x:c>
      <x:c r="B51" s="65" t="str">
        <x:v>UK</x:v>
      </x:c>
      <x:c r="C51" s="65" t="str">
        <x:v>20/mo</x:v>
      </x:c>
      <x:c r="D51" s="65" t="str">
        <x:v>0/100</x:v>
      </x:c>
      <x:c r="E51" s="65" t="str">
        <x:v>$0</x:v>
      </x:c>
      <x:c r="F51" s="65" t="str">
        <x:v>0 (low)</x:v>
      </x:c>
      <x:c r="G51" s="65" t="str">
        <x:v>n/a (not returned by endpoint)</x:v>
      </x:c>
      <x:c r="H51" s="65" t="str">
        <x:v>n/a (not returned by endpoint)</x:v>
      </x:c>
      <x:c r="I51" s="65" t="str">
        <x:v>ok</x:v>
      </x:c>
    </x:row>
    <x:row r="52">
      <x:c r="A52" s="65" t="str">
        <x:v>how does a code review work</x:v>
      </x:c>
      <x:c r="B52" s="65" t="str">
        <x:v>US</x:v>
      </x:c>
      <x:c r="C52" s="65" t="str">
        <x:v>0/mo</x:v>
      </x:c>
      <x:c r="D52" s="65" t="str">
        <x:v>0/100</x:v>
      </x:c>
      <x:c r="E52" s="65" t="str">
        <x:v>$0</x:v>
      </x:c>
      <x:c r="F52" s="65" t="str">
        <x:v>0 (low)</x:v>
      </x:c>
      <x:c r="G52" s="65" t="str">
        <x:v>n/a (not returned by endpoint)</x:v>
      </x:c>
      <x:c r="H52" s="65" t="str">
        <x:v>n/a (not returned by endpoint)</x:v>
      </x:c>
      <x:c r="I52" s="65" t="str">
        <x:v>ok</x:v>
      </x:c>
    </x:row>
    <x:row r="53">
      <x:c r="A53" s="65" t="str">
        <x:v>how does a code review work</x:v>
      </x:c>
      <x:c r="B53" s="65" t="str">
        <x:v>UK</x:v>
      </x:c>
      <x:c r="C53" s="65" t="str">
        <x:v>0/mo</x:v>
      </x:c>
      <x:c r="D53" s="65" t="str">
        <x:v>0/100</x:v>
      </x:c>
      <x:c r="E53" s="65" t="str">
        <x:v>$0</x:v>
      </x:c>
      <x:c r="F53" s="65" t="str">
        <x:v>0 (low)</x:v>
      </x:c>
      <x:c r="G53" s="65" t="str">
        <x:v>n/a (not returned by endpoint)</x:v>
      </x:c>
      <x:c r="H53" s="65" t="str">
        <x:v>n/a (not returned by endpoint)</x:v>
      </x:c>
      <x:c r="I53" s="65" t="str">
        <x:v>ok</x:v>
      </x:c>
    </x:row>
    <x:row r="54">
      <x:c r="A54" s="65" t="str">
        <x:v>pull request explained</x:v>
      </x:c>
      <x:c r="B54" s="65" t="str">
        <x:v>US</x:v>
      </x:c>
      <x:c r="C54" s="65" t="str">
        <x:v>20/mo</x:v>
      </x:c>
      <x:c r="D54" s="65" t="str">
        <x:v>0/100</x:v>
      </x:c>
      <x:c r="E54" s="65" t="str">
        <x:v>$0</x:v>
      </x:c>
      <x:c r="F54" s="65" t="str">
        <x:v>0.33 (medium)</x:v>
      </x:c>
      <x:c r="G54" s="65" t="str">
        <x:v>n/a (not returned by endpoint)</x:v>
      </x:c>
      <x:c r="H54" s="65" t="str">
        <x:v>n/a (not returned by endpoint)</x:v>
      </x:c>
      <x:c r="I54" s="65" t="str">
        <x:v>ok</x:v>
      </x:c>
    </x:row>
    <x:row r="55">
      <x:c r="A55" s="65" t="str">
        <x:v>pull request explained</x:v>
      </x:c>
      <x:c r="B55" s="65" t="str">
        <x:v>UK</x:v>
      </x:c>
      <x:c r="C55" s="65" t="str">
        <x:v>10/mo</x:v>
      </x:c>
      <x:c r="D55" s="65" t="str">
        <x:v>0/100</x:v>
      </x:c>
      <x:c r="E55" s="65" t="str">
        <x:v>$0</x:v>
      </x:c>
      <x:c r="F55" s="65" t="str">
        <x:v>0 (low)</x:v>
      </x:c>
      <x:c r="G55" s="65" t="str">
        <x:v>n/a (not returned by endpoint)</x:v>
      </x:c>
      <x:c r="H55" s="65" t="str">
        <x:v>n/a (not returned by endpoint)</x:v>
      </x:c>
      <x:c r="I55" s="65" t="str">
        <x:v>ok</x:v>
      </x:c>
    </x:row>
    <x:row r="56">
      <x:c r="A56" s="65" t="str">
        <x:v>github workflow explained</x:v>
      </x:c>
      <x:c r="B56" s="65" t="str">
        <x:v>US</x:v>
      </x:c>
      <x:c r="C56" s="65" t="str">
        <x:v>20/mo</x:v>
      </x:c>
      <x:c r="D56" s="65" t="str">
        <x:v>0/100</x:v>
      </x:c>
      <x:c r="E56" s="65" t="str">
        <x:v>$0</x:v>
      </x:c>
      <x:c r="F56" s="65" t="str">
        <x:v>0.33 (medium)</x:v>
      </x:c>
      <x:c r="G56" s="65" t="str">
        <x:v>n/a (not returned by endpoint)</x:v>
      </x:c>
      <x:c r="H56" s="65" t="str">
        <x:v>n/a (not returned by endpoint)</x:v>
      </x:c>
      <x:c r="I56" s="65" t="str">
        <x:v>ok</x:v>
      </x:c>
    </x:row>
    <x:row r="57">
      <x:c r="A57" s="65" t="str">
        <x:v>github workflow explained</x:v>
      </x:c>
      <x:c r="B57" s="65" t="str">
        <x:v>UK</x:v>
      </x:c>
      <x:c r="C57" s="65" t="str">
        <x:v>20/mo</x:v>
      </x:c>
      <x:c r="D57" s="65" t="str">
        <x:v>0/100</x:v>
      </x:c>
      <x:c r="E57" s="65" t="str">
        <x:v>$0</x:v>
      </x:c>
      <x:c r="F57" s="65" t="str">
        <x:v>0.07 (low)</x:v>
      </x:c>
      <x:c r="G57" s="65" t="str">
        <x:v>n/a (not returned by endpoint)</x:v>
      </x:c>
      <x:c r="H57" s="65" t="str">
        <x:v>n/a (not returned by endpoint)</x:v>
      </x:c>
      <x:c r="I57" s="65" t="str">
        <x:v>ok</x:v>
      </x:c>
    </x:row>
    <x:row r="58">
      <x:c r="A58" s="65" t="str">
        <x:v>staging vs production</x:v>
      </x:c>
      <x:c r="B58" s="65" t="str">
        <x:v>US</x:v>
      </x:c>
      <x:c r="C58" s="65" t="str">
        <x:v>110/mo</x:v>
      </x:c>
      <x:c r="D58" s="65" t="str">
        <x:v>27/100</x:v>
      </x:c>
      <x:c r="E58" s="65" t="str">
        <x:v>$0</x:v>
      </x:c>
      <x:c r="F58" s="65" t="str">
        <x:v>0.33 (medium)</x:v>
      </x:c>
      <x:c r="G58" s="65" t="str">
        <x:v>n/a (not returned by endpoint)</x:v>
      </x:c>
      <x:c r="H58" s="65" t="str">
        <x:v>n/a (not returned by endpoint)</x:v>
      </x:c>
      <x:c r="I58" s="65" t="str">
        <x:v>ok</x:v>
      </x:c>
    </x:row>
    <x:row r="59">
      <x:c r="A59" s="65" t="str">
        <x:v>staging vs production</x:v>
      </x:c>
      <x:c r="B59" s="65" t="str">
        <x:v>UK</x:v>
      </x:c>
      <x:c r="C59" s="65" t="str">
        <x:v>20/mo</x:v>
      </x:c>
      <x:c r="D59" s="65" t="str">
        <x:v>0/100</x:v>
      </x:c>
      <x:c r="E59" s="65" t="str">
        <x:v>$0</x:v>
      </x:c>
      <x:c r="F59" s="65" t="str">
        <x:v>0.33 (medium)</x:v>
      </x:c>
      <x:c r="G59" s="65" t="str">
        <x:v>n/a (not returned by endpoint)</x:v>
      </x:c>
      <x:c r="H59" s="65" t="str">
        <x:v>n/a (not returned by endpoint)</x:v>
      </x:c>
      <x:c r="I59" s="65" t="str">
        <x:v>ok</x:v>
      </x:c>
    </x:row>
    <x:row r="60">
      <x:c r="A60" s="65" t="str">
        <x:v>development vs staging vs production</x:v>
      </x:c>
      <x:c r="B60" s="65" t="str">
        <x:v>US</x:v>
      </x:c>
      <x:c r="C60" s="65" t="str">
        <x:v>20/mo</x:v>
      </x:c>
      <x:c r="D60" s="65" t="str">
        <x:v>0/100</x:v>
      </x:c>
      <x:c r="E60" s="65" t="str">
        <x:v>$0</x:v>
      </x:c>
      <x:c r="F60" s="65" t="str">
        <x:v>0.33 (medium)</x:v>
      </x:c>
      <x:c r="G60" s="65" t="str">
        <x:v>n/a (not returned by endpoint)</x:v>
      </x:c>
      <x:c r="H60" s="65" t="str">
        <x:v>n/a (not returned by endpoint)</x:v>
      </x:c>
      <x:c r="I60" s="65" t="str">
        <x:v>ok</x:v>
      </x:c>
    </x:row>
    <x:row r="61">
      <x:c r="A61" s="65" t="str">
        <x:v>development vs staging vs production</x:v>
      </x:c>
      <x:c r="B61" s="65" t="str">
        <x:v>UK</x:v>
      </x:c>
      <x:c r="C61" s="65" t="str">
        <x:v>20/mo</x:v>
      </x:c>
      <x:c r="D61" s="65" t="str">
        <x:v>0/100</x:v>
      </x:c>
      <x:c r="E61" s="65" t="str">
        <x:v>$0</x:v>
      </x:c>
      <x:c r="F61" s="65" t="str">
        <x:v>0.33 (medium)</x:v>
      </x:c>
      <x:c r="G61" s="65" t="str">
        <x:v>n/a (not returned by endpoint)</x:v>
      </x:c>
      <x:c r="H61" s="65" t="str">
        <x:v>n/a (not returned by endpoint)</x:v>
      </x:c>
      <x:c r="I61" s="65" t="str">
        <x:v>ok</x:v>
      </x:c>
    </x:row>
    <x:row r="62">
      <x:c r="A62" s="65" t="str">
        <x:v>feature flags explained</x:v>
      </x:c>
      <x:c r="B62" s="65" t="str">
        <x:v>US</x:v>
      </x:c>
      <x:c r="C62" s="65" t="str">
        <x:v>30/mo</x:v>
      </x:c>
      <x:c r="D62" s="65" t="str">
        <x:v>0/100</x:v>
      </x:c>
      <x:c r="E62" s="65" t="str">
        <x:v>$0</x:v>
      </x:c>
      <x:c r="F62" s="65" t="str">
        <x:v>0.11 (low)</x:v>
      </x:c>
      <x:c r="G62" s="65" t="str">
        <x:v>n/a (not returned by endpoint)</x:v>
      </x:c>
      <x:c r="H62" s="65" t="str">
        <x:v>n/a (not returned by endpoint)</x:v>
      </x:c>
      <x:c r="I62" s="65" t="str">
        <x:v>ok</x:v>
      </x:c>
    </x:row>
    <x:row r="63">
      <x:c r="A63" s="65" t="str">
        <x:v>feature flags explained</x:v>
      </x:c>
      <x:c r="B63" s="65" t="str">
        <x:v>UK</x:v>
      </x:c>
      <x:c r="C63" s="65" t="str">
        <x:v>10/mo</x:v>
      </x:c>
      <x:c r="D63" s="65" t="str">
        <x:v>0/100</x:v>
      </x:c>
      <x:c r="E63" s="65" t="str">
        <x:v>$0</x:v>
      </x:c>
      <x:c r="F63" s="65" t="str">
        <x:v>0.24 (low)</x:v>
      </x:c>
      <x:c r="G63" s="65" t="str">
        <x:v>n/a (not returned by endpoint)</x:v>
      </x:c>
      <x:c r="H63" s="65" t="str">
        <x:v>n/a (not returned by endpoint)</x:v>
      </x:c>
      <x:c r="I63" s="65" t="str">
        <x:v>ok</x:v>
      </x:c>
    </x:row>
    <x:row r="64">
      <x:c r="A64" s="65" t="str">
        <x:v>how to reproduce a bug</x:v>
      </x:c>
      <x:c r="B64" s="65" t="str">
        <x:v>US</x:v>
      </x:c>
      <x:c r="C64" s="65" t="str">
        <x:v>20/mo</x:v>
      </x:c>
      <x:c r="D64" s="65" t="str">
        <x:v>0/100</x:v>
      </x:c>
      <x:c r="E64" s="65" t="str">
        <x:v>$0</x:v>
      </x:c>
      <x:c r="F64" s="65" t="str">
        <x:v>0.33 (medium)</x:v>
      </x:c>
      <x:c r="G64" s="65" t="str">
        <x:v>n/a (not returned by endpoint)</x:v>
      </x:c>
      <x:c r="H64" s="65" t="str">
        <x:v>n/a (not returned by endpoint)</x:v>
      </x:c>
      <x:c r="I64" s="65" t="str">
        <x:v>ok</x:v>
      </x:c>
    </x:row>
    <x:row r="65">
      <x:c r="A65" s="65" t="str">
        <x:v>how to reproduce a bug</x:v>
      </x:c>
      <x:c r="B65" s="65" t="str">
        <x:v>UK</x:v>
      </x:c>
      <x:c r="C65" s="65" t="str">
        <x:v>0/mo</x:v>
      </x:c>
      <x:c r="D65" s="65" t="str">
        <x:v>0/100</x:v>
      </x:c>
      <x:c r="E65" s="65" t="str">
        <x:v>$0</x:v>
      </x:c>
      <x:c r="F65" s="65" t="str">
        <x:v>0 (low)</x:v>
      </x:c>
      <x:c r="G65" s="65" t="str">
        <x:v>n/a (not returned by endpoint)</x:v>
      </x:c>
      <x:c r="H65" s="65" t="str">
        <x:v>n/a (not returned by endpoint)</x:v>
      </x:c>
      <x:c r="I65" s="65" t="str">
        <x:v>ok</x:v>
      </x:c>
    </x:row>
    <x:row r="66">
      <x:c r="A66" s="65" t="str">
        <x:v>bug triage process</x:v>
      </x:c>
      <x:c r="B66" s="65" t="str">
        <x:v>US</x:v>
      </x:c>
      <x:c r="C66" s="65" t="str">
        <x:v>30/mo</x:v>
      </x:c>
      <x:c r="D66" s="65" t="str">
        <x:v>0/100</x:v>
      </x:c>
      <x:c r="E66" s="65" t="str">
        <x:v>$0</x:v>
      </x:c>
      <x:c r="F66" s="65" t="str">
        <x:v>0.33 (medium)</x:v>
      </x:c>
      <x:c r="G66" s="65" t="str">
        <x:v>n/a (not returned by endpoint)</x:v>
      </x:c>
      <x:c r="H66" s="65" t="str">
        <x:v>n/a (not returned by endpoint)</x:v>
      </x:c>
      <x:c r="I66" s="65" t="str">
        <x:v>ok</x:v>
      </x:c>
    </x:row>
    <x:row r="67">
      <x:c r="A67" s="65" t="str">
        <x:v>bug triage process</x:v>
      </x:c>
      <x:c r="B67" s="65" t="str">
        <x:v>UK</x:v>
      </x:c>
      <x:c r="C67" s="65" t="str">
        <x:v>20/mo</x:v>
      </x:c>
      <x:c r="D67" s="65" t="str">
        <x:v>0/100</x:v>
      </x:c>
      <x:c r="E67" s="65" t="str">
        <x:v>$0</x:v>
      </x:c>
      <x:c r="F67" s="65" t="str">
        <x:v>0.05 (low)</x:v>
      </x:c>
      <x:c r="G67" s="65" t="str">
        <x:v>n/a (not returned by endpoint)</x:v>
      </x:c>
      <x:c r="H67" s="65" t="str">
        <x:v>n/a (not returned by endpoint)</x:v>
      </x:c>
      <x:c r="I67" s="65" t="str">
        <x:v>ok</x:v>
      </x:c>
    </x:row>
    <x:row r="68">
      <x:c r="A68" s="65" t="str">
        <x:v>what is bug triage meeting</x:v>
      </x:c>
      <x:c r="B68" s="65" t="str">
        <x:v>US</x:v>
      </x:c>
      <x:c r="C68" s="65" t="str">
        <x:v>20/mo</x:v>
      </x:c>
      <x:c r="D68" s="65" t="str">
        <x:v>0/100</x:v>
      </x:c>
      <x:c r="E68" s="65" t="str">
        <x:v>$0</x:v>
      </x:c>
      <x:c r="F68" s="65" t="str">
        <x:v>0.33 (medium)</x:v>
      </x:c>
      <x:c r="G68" s="65" t="str">
        <x:v>n/a (not returned by endpoint)</x:v>
      </x:c>
      <x:c r="H68" s="65" t="str">
        <x:v>n/a (not returned by endpoint)</x:v>
      </x:c>
      <x:c r="I68" s="65" t="str">
        <x:v>ok</x:v>
      </x:c>
    </x:row>
    <x:row r="69">
      <x:c r="A69" s="65" t="str">
        <x:v>what is bug triage meeting</x:v>
      </x:c>
      <x:c r="B69" s="65" t="str">
        <x:v>UK</x:v>
      </x:c>
      <x:c r="C69" s="65" t="str">
        <x:v>0/mo</x:v>
      </x:c>
      <x:c r="D69" s="65" t="str">
        <x:v>0/100</x:v>
      </x:c>
      <x:c r="E69" s="65" t="str">
        <x:v>$0</x:v>
      </x:c>
      <x:c r="F69" s="65" t="str">
        <x:v>0 (low)</x:v>
      </x:c>
      <x:c r="G69" s="65" t="str">
        <x:v>n/a (not returned by endpoint)</x:v>
      </x:c>
      <x:c r="H69" s="65" t="str">
        <x:v>n/a (not returned by endpoint)</x:v>
      </x:c>
      <x:c r="I69" s="65" t="str">
        <x:v>ok</x:v>
      </x:c>
    </x:row>
    <x:row r="70">
      <x:c r="A70" s="65" t="str">
        <x:v>what are application logs</x:v>
      </x:c>
      <x:c r="B70" s="65" t="str">
        <x:v>US</x:v>
      </x:c>
      <x:c r="C70" s="65" t="str">
        <x:v>20/mo</x:v>
      </x:c>
      <x:c r="D70" s="65" t="str">
        <x:v>0/100</x:v>
      </x:c>
      <x:c r="E70" s="65" t="str">
        <x:v>$0</x:v>
      </x:c>
      <x:c r="F70" s="65" t="str">
        <x:v>0.33 (medium)</x:v>
      </x:c>
      <x:c r="G70" s="65" t="str">
        <x:v>n/a (not returned by endpoint)</x:v>
      </x:c>
      <x:c r="H70" s="65" t="str">
        <x:v>n/a (not returned by endpoint)</x:v>
      </x:c>
      <x:c r="I70" s="65" t="str">
        <x:v>ok</x:v>
      </x:c>
    </x:row>
    <x:row r="71">
      <x:c r="A71" s="65" t="str">
        <x:v>what are application logs</x:v>
      </x:c>
      <x:c r="B71" s="65" t="str">
        <x:v>UK</x:v>
      </x:c>
      <x:c r="C71" s="65" t="str">
        <x:v>20/mo</x:v>
      </x:c>
      <x:c r="D71" s="65" t="str">
        <x:v>0/100</x:v>
      </x:c>
      <x:c r="E71" s="65" t="str">
        <x:v>$0</x:v>
      </x:c>
      <x:c r="F71" s="65" t="str">
        <x:v>0.33 (medium)</x:v>
      </x:c>
      <x:c r="G71" s="65" t="str">
        <x:v>n/a (not returned by endpoint)</x:v>
      </x:c>
      <x:c r="H71" s="65" t="str">
        <x:v>n/a (not returned by endpoint)</x:v>
      </x:c>
      <x:c r="I71" s="65" t="str">
        <x:v>ok</x:v>
      </x:c>
    </x:row>
    <x:row r="72">
      <x:c r="A72" s="65" t="str">
        <x:v>devtools network tab explained</x:v>
      </x:c>
      <x:c r="B72" s="65" t="str">
        <x:v>US</x:v>
      </x:c>
      <x:c r="C72" s="65" t="str">
        <x:v>n/a (no row returned)</x:v>
      </x:c>
      <x:c r="D72" s="65" t="str">
        <x:v>n/a (no row returned)</x:v>
      </x:c>
      <x:c r="E72" s="65" t="str">
        <x:v>n/a (no row returned)</x:v>
      </x:c>
      <x:c r="F72" s="65" t="str">
        <x:v>n/a (no row returned)</x:v>
      </x:c>
      <x:c r="G72" s="65" t="str">
        <x:v>n/a (not returned by endpoint)</x:v>
      </x:c>
      <x:c r="H72" s="65" t="str">
        <x:v>n/a (not returned by endpoint)</x:v>
      </x:c>
      <x:c r="I72" s="65" t="str">
        <x:v>no_data</x:v>
      </x:c>
    </x:row>
    <x:row r="73">
      <x:c r="A73" s="65" t="str">
        <x:v>devtools network tab explained</x:v>
      </x:c>
      <x:c r="B73" s="65" t="str">
        <x:v>UK</x:v>
      </x:c>
      <x:c r="C73" s="65" t="str">
        <x:v>n/a (no row returned)</x:v>
      </x:c>
      <x:c r="D73" s="65" t="str">
        <x:v>n/a (no row returned)</x:v>
      </x:c>
      <x:c r="E73" s="65" t="str">
        <x:v>n/a (no row returned)</x:v>
      </x:c>
      <x:c r="F73" s="65" t="str">
        <x:v>n/a (no row returned)</x:v>
      </x:c>
      <x:c r="G73" s="65" t="str">
        <x:v>n/a (not returned by endpoint)</x:v>
      </x:c>
      <x:c r="H73" s="65" t="str">
        <x:v>n/a (not returned by endpoint)</x:v>
      </x:c>
      <x:c r="I73" s="65" t="str">
        <x:v>no_data</x:v>
      </x:c>
    </x:row>
    <x:row r="74">
      <x:c r="A74" s="65" t="str">
        <x:v>severity vs priority bug</x:v>
      </x:c>
      <x:c r="B74" s="65" t="str">
        <x:v>US</x:v>
      </x:c>
      <x:c r="C74" s="65" t="str">
        <x:v>20/mo</x:v>
      </x:c>
      <x:c r="D74" s="65" t="str">
        <x:v>0/100</x:v>
      </x:c>
      <x:c r="E74" s="65" t="str">
        <x:v>$0</x:v>
      </x:c>
      <x:c r="F74" s="65" t="str">
        <x:v>0.33 (medium)</x:v>
      </x:c>
      <x:c r="G74" s="65" t="str">
        <x:v>n/a (not returned by endpoint)</x:v>
      </x:c>
      <x:c r="H74" s="65" t="str">
        <x:v>n/a (not returned by endpoint)</x:v>
      </x:c>
      <x:c r="I74" s="65" t="str">
        <x:v>ok</x:v>
      </x:c>
    </x:row>
    <x:row r="75">
      <x:c r="A75" s="65" t="str">
        <x:v>severity vs priority bug</x:v>
      </x:c>
      <x:c r="B75" s="65" t="str">
        <x:v>UK</x:v>
      </x:c>
      <x:c r="C75" s="65" t="str">
        <x:v>20/mo</x:v>
      </x:c>
      <x:c r="D75" s="65" t="str">
        <x:v>0/100</x:v>
      </x:c>
      <x:c r="E75" s="65" t="str">
        <x:v>$0</x:v>
      </x:c>
      <x:c r="F75" s="65" t="str">
        <x:v>0.33 (medium)</x:v>
      </x:c>
      <x:c r="G75" s="65" t="str">
        <x:v>n/a (not returned by endpoint)</x:v>
      </x:c>
      <x:c r="H75" s="65" t="str">
        <x:v>n/a (not returned by endpoint)</x:v>
      </x:c>
      <x:c r="I75" s="65" t="str">
        <x:v>ok</x:v>
      </x:c>
    </x:row>
    <x:row r="76">
      <x:c r="A76" s="65" t="str">
        <x:v>technical debt explained</x:v>
      </x:c>
      <x:c r="B76" s="65" t="str">
        <x:v>US</x:v>
      </x:c>
      <x:c r="C76" s="65" t="str">
        <x:v>20/mo</x:v>
      </x:c>
      <x:c r="D76" s="65" t="str">
        <x:v>0/100</x:v>
      </x:c>
      <x:c r="E76" s="65" t="str">
        <x:v>$0</x:v>
      </x:c>
      <x:c r="F76" s="65" t="str">
        <x:v>0.33 (medium)</x:v>
      </x:c>
      <x:c r="G76" s="65" t="str">
        <x:v>n/a (not returned by endpoint)</x:v>
      </x:c>
      <x:c r="H76" s="65" t="str">
        <x:v>n/a (not returned by endpoint)</x:v>
      </x:c>
      <x:c r="I76" s="65" t="str">
        <x:v>ok</x:v>
      </x:c>
    </x:row>
    <x:row r="77">
      <x:c r="A77" s="65" t="str">
        <x:v>technical debt explained</x:v>
      </x:c>
      <x:c r="B77" s="65" t="str">
        <x:v>UK</x:v>
      </x:c>
      <x:c r="C77" s="65" t="str">
        <x:v>20/mo</x:v>
      </x:c>
      <x:c r="D77" s="65" t="str">
        <x:v>0/100</x:v>
      </x:c>
      <x:c r="E77" s="65" t="str">
        <x:v>$0</x:v>
      </x:c>
      <x:c r="F77" s="65" t="str">
        <x:v>0.86 (high)</x:v>
      </x:c>
      <x:c r="G77" s="65" t="str">
        <x:v>n/a (not returned by endpoint)</x:v>
      </x:c>
      <x:c r="H77" s="65" t="str">
        <x:v>n/a (not returned by endpoint)</x:v>
      </x:c>
      <x:c r="I77" s="65" t="str">
        <x:v>ok</x:v>
      </x:c>
    </x:row>
    <x:row r="78">
      <x:c r="A78" s="65" t="str">
        <x:v>technical debt explained for dummies</x:v>
      </x:c>
      <x:c r="B78" s="65" t="str">
        <x:v>US</x:v>
      </x:c>
      <x:c r="C78" s="65" t="str">
        <x:v>n/a (no row returned)</x:v>
      </x:c>
      <x:c r="D78" s="65" t="str">
        <x:v>n/a (no row returned)</x:v>
      </x:c>
      <x:c r="E78" s="65" t="str">
        <x:v>n/a (no row returned)</x:v>
      </x:c>
      <x:c r="F78" s="65" t="str">
        <x:v>n/a (no row returned)</x:v>
      </x:c>
      <x:c r="G78" s="65" t="str">
        <x:v>n/a (not returned by endpoint)</x:v>
      </x:c>
      <x:c r="H78" s="65" t="str">
        <x:v>n/a (not returned by endpoint)</x:v>
      </x:c>
      <x:c r="I78" s="65" t="str">
        <x:v>no_data</x:v>
      </x:c>
    </x:row>
    <x:row r="79">
      <x:c r="A79" s="65" t="str">
        <x:v>technical debt explained for dummies</x:v>
      </x:c>
      <x:c r="B79" s="65" t="str">
        <x:v>UK</x:v>
      </x:c>
      <x:c r="C79" s="65" t="str">
        <x:v>n/a (no row returned)</x:v>
      </x:c>
      <x:c r="D79" s="65" t="str">
        <x:v>n/a (no row returned)</x:v>
      </x:c>
      <x:c r="E79" s="65" t="str">
        <x:v>n/a (no row returned)</x:v>
      </x:c>
      <x:c r="F79" s="65" t="str">
        <x:v>n/a (no row returned)</x:v>
      </x:c>
      <x:c r="G79" s="65" t="str">
        <x:v>n/a (not returned by endpoint)</x:v>
      </x:c>
      <x:c r="H79" s="65" t="str">
        <x:v>n/a (not returned by endpoint)</x:v>
      </x:c>
      <x:c r="I79" s="65" t="str">
        <x:v>no_data</x:v>
      </x:c>
    </x:row>
    <x:row r="80">
      <x:c r="A80" s="65" t="str">
        <x:v>what is technical debt in software development</x:v>
      </x:c>
      <x:c r="B80" s="65" t="str">
        <x:v>US</x:v>
      </x:c>
      <x:c r="C80" s="65" t="str">
        <x:v>110/mo</x:v>
      </x:c>
      <x:c r="D80" s="65" t="str">
        <x:v>42/100</x:v>
      </x:c>
      <x:c r="E80" s="65" t="str">
        <x:v>$1.99</x:v>
      </x:c>
      <x:c r="F80" s="65" t="str">
        <x:v>0.05 (low)</x:v>
      </x:c>
      <x:c r="G80" s="65" t="str">
        <x:v>n/a (not returned by endpoint)</x:v>
      </x:c>
      <x:c r="H80" s="65" t="str">
        <x:v>n/a (not returned by endpoint)</x:v>
      </x:c>
      <x:c r="I80" s="65" t="str">
        <x:v>ok</x:v>
      </x:c>
    </x:row>
    <x:row r="81">
      <x:c r="A81" s="65" t="str">
        <x:v>what is technical debt in software development</x:v>
      </x:c>
      <x:c r="B81" s="65" t="str">
        <x:v>UK</x:v>
      </x:c>
      <x:c r="C81" s="65" t="str">
        <x:v>20/mo</x:v>
      </x:c>
      <x:c r="D81" s="65" t="str">
        <x:v>0/100</x:v>
      </x:c>
      <x:c r="E81" s="65" t="str">
        <x:v>$0</x:v>
      </x:c>
      <x:c r="F81" s="65" t="str">
        <x:v>0.06 (low)</x:v>
      </x:c>
      <x:c r="G81" s="65" t="str">
        <x:v>n/a (not returned by endpoint)</x:v>
      </x:c>
      <x:c r="H81" s="65" t="str">
        <x:v>n/a (not returned by endpoint)</x:v>
      </x:c>
      <x:c r="I81" s="65" t="str">
        <x:v>ok</x:v>
      </x:c>
    </x:row>
    <x:row r="82">
      <x:c r="A82" s="65" t="str">
        <x:v>How much technical debt is acceptable?</x:v>
      </x:c>
      <x:c r="B82" s="65" t="str">
        <x:v>US</x:v>
      </x:c>
      <x:c r="C82" s="65" t="str">
        <x:v>20/mo</x:v>
      </x:c>
      <x:c r="D82" s="65" t="str">
        <x:v>0/100</x:v>
      </x:c>
      <x:c r="E82" s="65" t="str">
        <x:v>$0</x:v>
      </x:c>
      <x:c r="F82" s="65" t="str">
        <x:v>0.33 (medium)</x:v>
      </x:c>
      <x:c r="G82" s="65" t="str">
        <x:v>n/a (not returned by endpoint)</x:v>
      </x:c>
      <x:c r="H82" s="65" t="str">
        <x:v>n/a (not returned by endpoint)</x:v>
      </x:c>
      <x:c r="I82" s="65" t="str">
        <x:v>ok</x:v>
      </x:c>
    </x:row>
    <x:row r="83">
      <x:c r="A83" s="65" t="str">
        <x:v>How much technical debt is acceptable?</x:v>
      </x:c>
      <x:c r="B83" s="65" t="str">
        <x:v>UK</x:v>
      </x:c>
      <x:c r="C83" s="65" t="str">
        <x:v>10/mo</x:v>
      </x:c>
      <x:c r="D83" s="65" t="str">
        <x:v>0/100</x:v>
      </x:c>
      <x:c r="E83" s="65" t="str">
        <x:v>$0</x:v>
      </x:c>
      <x:c r="F83" s="65" t="str">
        <x:v>0.33 (medium)</x:v>
      </x:c>
      <x:c r="G83" s="65" t="str">
        <x:v>n/a (not returned by endpoint)</x:v>
      </x:c>
      <x:c r="H83" s="65" t="str">
        <x:v>n/a (not returned by endpoint)</x:v>
      </x:c>
      <x:c r="I83" s="65" t="str">
        <x:v>ok</x:v>
      </x:c>
    </x:row>
    <x:row r="84">
      <x:c r="A84" s="65" t="str">
        <x:v>buy vs build software pros and cons</x:v>
      </x:c>
      <x:c r="B84" s="65" t="str">
        <x:v>US</x:v>
      </x:c>
      <x:c r="C84" s="65" t="str">
        <x:v>20/mo</x:v>
      </x:c>
      <x:c r="D84" s="65" t="str">
        <x:v>0/100</x:v>
      </x:c>
      <x:c r="E84" s="65" t="str">
        <x:v>$0</x:v>
      </x:c>
      <x:c r="F84" s="65" t="str">
        <x:v>0.07 (low)</x:v>
      </x:c>
      <x:c r="G84" s="65" t="str">
        <x:v>n/a (not returned by endpoint)</x:v>
      </x:c>
      <x:c r="H84" s="65" t="str">
        <x:v>n/a (not returned by endpoint)</x:v>
      </x:c>
      <x:c r="I84" s="65" t="str">
        <x:v>ok</x:v>
      </x:c>
    </x:row>
    <x:row r="85">
      <x:c r="A85" s="65" t="str">
        <x:v>buy vs build software pros and cons</x:v>
      </x:c>
      <x:c r="B85" s="65" t="str">
        <x:v>UK</x:v>
      </x:c>
      <x:c r="C85" s="65" t="str">
        <x:v>10/mo</x:v>
      </x:c>
      <x:c r="D85" s="65" t="str">
        <x:v>0/100</x:v>
      </x:c>
      <x:c r="E85" s="65" t="str">
        <x:v>$0</x:v>
      </x:c>
      <x:c r="F85" s="65" t="str">
        <x:v>0.33 (medium)</x:v>
      </x:c>
      <x:c r="G85" s="65" t="str">
        <x:v>n/a (not returned by endpoint)</x:v>
      </x:c>
      <x:c r="H85" s="65" t="str">
        <x:v>n/a (not returned by endpoint)</x:v>
      </x:c>
      <x:c r="I85" s="65" t="str">
        <x:v>ok</x:v>
      </x:c>
    </x:row>
    <x:row r="86">
      <x:c r="A86" s="65" t="str">
        <x:v>prototype vs production software</x:v>
      </x:c>
      <x:c r="B86" s="65" t="str">
        <x:v>US</x:v>
      </x:c>
      <x:c r="C86" s="65" t="str">
        <x:v>n/a (no row returned)</x:v>
      </x:c>
      <x:c r="D86" s="65" t="str">
        <x:v>n/a (no row returned)</x:v>
      </x:c>
      <x:c r="E86" s="65" t="str">
        <x:v>n/a (no row returned)</x:v>
      </x:c>
      <x:c r="F86" s="65" t="str">
        <x:v>n/a (no row returned)</x:v>
      </x:c>
      <x:c r="G86" s="65" t="str">
        <x:v>n/a (not returned by endpoint)</x:v>
      </x:c>
      <x:c r="H86" s="65" t="str">
        <x:v>n/a (not returned by endpoint)</x:v>
      </x:c>
      <x:c r="I86" s="65" t="str">
        <x:v>no_data</x:v>
      </x:c>
    </x:row>
    <x:row r="87">
      <x:c r="A87" s="65" t="str">
        <x:v>prototype vs production software</x:v>
      </x:c>
      <x:c r="B87" s="65" t="str">
        <x:v>UK</x:v>
      </x:c>
      <x:c r="C87" s="65" t="str">
        <x:v>n/a (no row returned)</x:v>
      </x:c>
      <x:c r="D87" s="65" t="str">
        <x:v>n/a (no row returned)</x:v>
      </x:c>
      <x:c r="E87" s="65" t="str">
        <x:v>n/a (no row returned)</x:v>
      </x:c>
      <x:c r="F87" s="65" t="str">
        <x:v>n/a (no row returned)</x:v>
      </x:c>
      <x:c r="G87" s="65" t="str">
        <x:v>n/a (not returned by endpoint)</x:v>
      </x:c>
      <x:c r="H87" s="65" t="str">
        <x:v>n/a (not returned by endpoint)</x:v>
      </x:c>
      <x:c r="I87" s="65" t="str">
        <x:v>no_data</x:v>
      </x:c>
    </x:row>
    <x:row r="88">
      <x:c r="A88" s="65" t="str">
        <x:v>mvp vs prototype vs poc</x:v>
      </x:c>
      <x:c r="B88" s="65" t="str">
        <x:v>US</x:v>
      </x:c>
      <x:c r="C88" s="65" t="str">
        <x:v>50/mo</x:v>
      </x:c>
      <x:c r="D88" s="65" t="str">
        <x:v>44/100</x:v>
      </x:c>
      <x:c r="E88" s="65" t="str">
        <x:v>$0</x:v>
      </x:c>
      <x:c r="F88" s="65" t="str">
        <x:v>0.33 (medium)</x:v>
      </x:c>
      <x:c r="G88" s="65" t="str">
        <x:v>n/a (not returned by endpoint)</x:v>
      </x:c>
      <x:c r="H88" s="65" t="str">
        <x:v>n/a (not returned by endpoint)</x:v>
      </x:c>
      <x:c r="I88" s="65" t="str">
        <x:v>ok</x:v>
      </x:c>
    </x:row>
    <x:row r="89">
      <x:c r="A89" s="65" t="str">
        <x:v>mvp vs prototype vs poc</x:v>
      </x:c>
      <x:c r="B89" s="65" t="str">
        <x:v>UK</x:v>
      </x:c>
      <x:c r="C89" s="65" t="str">
        <x:v>20/mo</x:v>
      </x:c>
      <x:c r="D89" s="65" t="str">
        <x:v>0/100</x:v>
      </x:c>
      <x:c r="E89" s="65" t="str">
        <x:v>$0</x:v>
      </x:c>
      <x:c r="F89" s="65" t="str">
        <x:v>0.21 (low)</x:v>
      </x:c>
      <x:c r="G89" s="65" t="str">
        <x:v>n/a (not returned by endpoint)</x:v>
      </x:c>
      <x:c r="H89" s="65" t="str">
        <x:v>n/a (not returned by endpoint)</x:v>
      </x:c>
      <x:c r="I89" s="65" t="str">
        <x:v>ok</x:v>
      </x:c>
    </x:row>
    <x:row r="90">
      <x:c r="A90" s="65" t="str">
        <x:v>how to build an app with ai (no experience required)</x:v>
      </x:c>
      <x:c r="B90" s="65" t="str">
        <x:v>US</x:v>
      </x:c>
      <x:c r="C90" s="65" t="str">
        <x:v>n/a (no row returned)</x:v>
      </x:c>
      <x:c r="D90" s="65" t="str">
        <x:v>n/a (no row returned)</x:v>
      </x:c>
      <x:c r="E90" s="65" t="str">
        <x:v>n/a (no row returned)</x:v>
      </x:c>
      <x:c r="F90" s="65" t="str">
        <x:v>n/a (no row returned)</x:v>
      </x:c>
      <x:c r="G90" s="65" t="str">
        <x:v>n/a (not returned by endpoint)</x:v>
      </x:c>
      <x:c r="H90" s="65" t="str">
        <x:v>n/a (not returned by endpoint)</x:v>
      </x:c>
      <x:c r="I90" s="65" t="str">
        <x:v>no_data</x:v>
      </x:c>
    </x:row>
    <x:row r="91">
      <x:c r="A91" s="65" t="str">
        <x:v>how to build an app with ai (no experience required)</x:v>
      </x:c>
      <x:c r="B91" s="65" t="str">
        <x:v>UK</x:v>
      </x:c>
      <x:c r="C91" s="65" t="str">
        <x:v>n/a (no row returned)</x:v>
      </x:c>
      <x:c r="D91" s="65" t="str">
        <x:v>n/a (no row returned)</x:v>
      </x:c>
      <x:c r="E91" s="65" t="str">
        <x:v>n/a (no row returned)</x:v>
      </x:c>
      <x:c r="F91" s="65" t="str">
        <x:v>n/a (no row returned)</x:v>
      </x:c>
      <x:c r="G91" s="65" t="str">
        <x:v>n/a (not returned by endpoint)</x:v>
      </x:c>
      <x:c r="H91" s="65" t="str">
        <x:v>n/a (not returned by endpoint)</x:v>
      </x:c>
      <x:c r="I91" s="65" t="str">
        <x:v>no_data</x:v>
      </x:c>
    </x:row>
    <x:row r="92">
      <x:c r="A92" s="65" t="str">
        <x:v>how to build app with ai without coding</x:v>
      </x:c>
      <x:c r="B92" s="65" t="str">
        <x:v>US</x:v>
      </x:c>
      <x:c r="C92" s="65" t="str">
        <x:v>n/a (no row returned)</x:v>
      </x:c>
      <x:c r="D92" s="65" t="str">
        <x:v>n/a (no row returned)</x:v>
      </x:c>
      <x:c r="E92" s="65" t="str">
        <x:v>n/a (no row returned)</x:v>
      </x:c>
      <x:c r="F92" s="65" t="str">
        <x:v>n/a (no row returned)</x:v>
      </x:c>
      <x:c r="G92" s="65" t="str">
        <x:v>n/a (not returned by endpoint)</x:v>
      </x:c>
      <x:c r="H92" s="65" t="str">
        <x:v>n/a (not returned by endpoint)</x:v>
      </x:c>
      <x:c r="I92" s="65" t="str">
        <x:v>no_data</x:v>
      </x:c>
    </x:row>
    <x:row r="93">
      <x:c r="A93" s="65" t="str">
        <x:v>how to build app with ai without coding</x:v>
      </x:c>
      <x:c r="B93" s="65" t="str">
        <x:v>UK</x:v>
      </x:c>
      <x:c r="C93" s="65" t="str">
        <x:v>n/a (no row returned)</x:v>
      </x:c>
      <x:c r="D93" s="65" t="str">
        <x:v>n/a (no row returned)</x:v>
      </x:c>
      <x:c r="E93" s="65" t="str">
        <x:v>n/a (no row returned)</x:v>
      </x:c>
      <x:c r="F93" s="65" t="str">
        <x:v>n/a (no row returned)</x:v>
      </x:c>
      <x:c r="G93" s="65" t="str">
        <x:v>n/a (not returned by endpoint)</x:v>
      </x:c>
      <x:c r="H93" s="65" t="str">
        <x:v>n/a (not returned by endpoint)</x:v>
      </x:c>
      <x:c r="I93" s="65" t="str">
        <x:v>no_data</x:v>
      </x:c>
    </x:row>
    <x:row r="94">
      <x:c r="A94" s="65" t="str">
        <x:v>ai coding tools for beginners</x:v>
      </x:c>
      <x:c r="B94" s="65" t="str">
        <x:v>US</x:v>
      </x:c>
      <x:c r="C94" s="65" t="str">
        <x:v>10/mo</x:v>
      </x:c>
      <x:c r="D94" s="65" t="str">
        <x:v>0/100</x:v>
      </x:c>
      <x:c r="E94" s="65" t="str">
        <x:v>$0</x:v>
      </x:c>
      <x:c r="F94" s="65" t="str">
        <x:v>0.33 (medium)</x:v>
      </x:c>
      <x:c r="G94" s="65" t="str">
        <x:v>n/a (not returned by endpoint)</x:v>
      </x:c>
      <x:c r="H94" s="65" t="str">
        <x:v>n/a (not returned by endpoint)</x:v>
      </x:c>
      <x:c r="I94" s="65" t="str">
        <x:v>ok</x:v>
      </x:c>
    </x:row>
    <x:row r="95">
      <x:c r="A95" s="65" t="str">
        <x:v>ai coding tools for beginners</x:v>
      </x:c>
      <x:c r="B95" s="65" t="str">
        <x:v>UK</x:v>
      </x:c>
      <x:c r="C95" s="65" t="str">
        <x:v>0/mo</x:v>
      </x:c>
      <x:c r="D95" s="65" t="str">
        <x:v>0/100</x:v>
      </x:c>
      <x:c r="E95" s="65" t="str">
        <x:v>$0</x:v>
      </x:c>
      <x:c r="F95" s="65" t="str">
        <x:v>0 (low)</x:v>
      </x:c>
      <x:c r="G95" s="65" t="str">
        <x:v>n/a (not returned by endpoint)</x:v>
      </x:c>
      <x:c r="H95" s="65" t="str">
        <x:v>n/a (not returned by endpoint)</x:v>
      </x:c>
      <x:c r="I95" s="65" t="str">
        <x:v>ok</x:v>
      </x:c>
    </x:row>
    <x:row r="96">
      <x:c r="A96" s="65" t="str">
        <x:v>vibe coding for beginners</x:v>
      </x:c>
      <x:c r="B96" s="65" t="str">
        <x:v>US</x:v>
      </x:c>
      <x:c r="C96" s="65" t="str">
        <x:v>90/mo</x:v>
      </x:c>
      <x:c r="D96" s="65" t="str">
        <x:v>33/100</x:v>
      </x:c>
      <x:c r="E96" s="65" t="str">
        <x:v>$3.9</x:v>
      </x:c>
      <x:c r="F96" s="65" t="str">
        <x:v>0.62 (medium)</x:v>
      </x:c>
      <x:c r="G96" s="65" t="str">
        <x:v>n/a (not returned by endpoint)</x:v>
      </x:c>
      <x:c r="H96" s="65" t="str">
        <x:v>n/a (not returned by endpoint)</x:v>
      </x:c>
      <x:c r="I96" s="65" t="str">
        <x:v>ok</x:v>
      </x:c>
    </x:row>
    <x:row r="97">
      <x:c r="A97" s="65" t="str">
        <x:v>vibe coding for beginners</x:v>
      </x:c>
      <x:c r="B97" s="65" t="str">
        <x:v>UK</x:v>
      </x:c>
      <x:c r="C97" s="65" t="str">
        <x:v>20/mo</x:v>
      </x:c>
      <x:c r="D97" s="65" t="str">
        <x:v>0/100</x:v>
      </x:c>
      <x:c r="E97" s="65" t="str">
        <x:v>$1.83</x:v>
      </x:c>
      <x:c r="F97" s="65" t="str">
        <x:v>0.75 (high)</x:v>
      </x:c>
      <x:c r="G97" s="65" t="str">
        <x:v>n/a (not returned by endpoint)</x:v>
      </x:c>
      <x:c r="H97" s="65" t="str">
        <x:v>n/a (not returned by endpoint)</x:v>
      </x:c>
      <x:c r="I97" s="65" t="str">
        <x:v>ok</x:v>
      </x:c>
    </x:row>
    <x:row r="98">
      <x:c r="A98" s="65" t="str">
        <x:v>what is vibe coding in simple words</x:v>
      </x:c>
      <x:c r="B98" s="65" t="str">
        <x:v>US</x:v>
      </x:c>
      <x:c r="C98" s="65" t="str">
        <x:v>30/mo</x:v>
      </x:c>
      <x:c r="D98" s="65" t="str">
        <x:v>0/100</x:v>
      </x:c>
      <x:c r="E98" s="65" t="str">
        <x:v>$2.28</x:v>
      </x:c>
      <x:c r="F98" s="65" t="str">
        <x:v>0.31 (low)</x:v>
      </x:c>
      <x:c r="G98" s="65" t="str">
        <x:v>n/a (not returned by endpoint)</x:v>
      </x:c>
      <x:c r="H98" s="65" t="str">
        <x:v>n/a (not returned by endpoint)</x:v>
      </x:c>
      <x:c r="I98" s="65" t="str">
        <x:v>ok</x:v>
      </x:c>
    </x:row>
    <x:row r="99">
      <x:c r="A99" s="65" t="str">
        <x:v>what is vibe coding in simple words</x:v>
      </x:c>
      <x:c r="B99" s="65" t="str">
        <x:v>UK</x:v>
      </x:c>
      <x:c r="C99" s="65" t="str">
        <x:v>10/mo</x:v>
      </x:c>
      <x:c r="D99" s="65" t="str">
        <x:v>0/100</x:v>
      </x:c>
      <x:c r="E99" s="65" t="str">
        <x:v>$0</x:v>
      </x:c>
      <x:c r="F99" s="65" t="str">
        <x:v>0.33 (medium)</x:v>
      </x:c>
      <x:c r="G99" s="65" t="str">
        <x:v>n/a (not returned by endpoint)</x:v>
      </x:c>
      <x:c r="H99" s="65" t="str">
        <x:v>n/a (not returned by endpoint)</x:v>
      </x:c>
      <x:c r="I99" s="65" t="str">
        <x:v>ok</x:v>
      </x:c>
    </x:row>
    <x:row r="100">
      <x:c r="A100" s="65" t="str">
        <x:v>how does vibe coding work</x:v>
      </x:c>
      <x:c r="B100" s="65" t="str">
        <x:v>US</x:v>
      </x:c>
      <x:c r="C100" s="65" t="str">
        <x:v>70/mo</x:v>
      </x:c>
      <x:c r="D100" s="65" t="str">
        <x:v>49/100</x:v>
      </x:c>
      <x:c r="E100" s="65" t="str">
        <x:v>$1.95</x:v>
      </x:c>
      <x:c r="F100" s="65" t="str">
        <x:v>0.32 (low)</x:v>
      </x:c>
      <x:c r="G100" s="65" t="str">
        <x:v>n/a (not returned by endpoint)</x:v>
      </x:c>
      <x:c r="H100" s="65" t="str">
        <x:v>n/a (not returned by endpoint)</x:v>
      </x:c>
      <x:c r="I100" s="65" t="str">
        <x:v>ok</x:v>
      </x:c>
    </x:row>
    <x:row r="101">
      <x:c r="A101" s="65" t="str">
        <x:v>how does vibe coding work</x:v>
      </x:c>
      <x:c r="B101" s="65" t="str">
        <x:v>UK</x:v>
      </x:c>
      <x:c r="C101" s="65" t="str">
        <x:v>30/mo</x:v>
      </x:c>
      <x:c r="D101" s="65" t="str">
        <x:v>0/100</x:v>
      </x:c>
      <x:c r="E101" s="65" t="str">
        <x:v>$1.09</x:v>
      </x:c>
      <x:c r="F101" s="65" t="str">
        <x:v>0.58 (medium)</x:v>
      </x:c>
      <x:c r="G101" s="65" t="str">
        <x:v>n/a (not returned by endpoint)</x:v>
      </x:c>
      <x:c r="H101" s="65" t="str">
        <x:v>n/a (not returned by endpoint)</x:v>
      </x:c>
      <x:c r="I101" s="65" t="str">
        <x:v>ok</x:v>
      </x:c>
    </x:row>
    <x:row r="102">
      <x:c r="A102" s="65" t="str">
        <x:v>claude code for non technical people</x:v>
      </x:c>
      <x:c r="B102" s="65" t="str">
        <x:v>US</x:v>
      </x:c>
      <x:c r="C102" s="65" t="str">
        <x:v>n/a (no row returned)</x:v>
      </x:c>
      <x:c r="D102" s="65" t="str">
        <x:v>n/a (no row returned)</x:v>
      </x:c>
      <x:c r="E102" s="65" t="str">
        <x:v>n/a (no row returned)</x:v>
      </x:c>
      <x:c r="F102" s="65" t="str">
        <x:v>n/a (no row returned)</x:v>
      </x:c>
      <x:c r="G102" s="65" t="str">
        <x:v>n/a (not returned by endpoint)</x:v>
      </x:c>
      <x:c r="H102" s="65" t="str">
        <x:v>n/a (not returned by endpoint)</x:v>
      </x:c>
      <x:c r="I102" s="65" t="str">
        <x:v>no_data</x:v>
      </x:c>
    </x:row>
    <x:row r="103">
      <x:c r="A103" s="65" t="str">
        <x:v>claude code for non technical people</x:v>
      </x:c>
      <x:c r="B103" s="65" t="str">
        <x:v>UK</x:v>
      </x:c>
      <x:c r="C103" s="65" t="str">
        <x:v>n/a (no row returned)</x:v>
      </x:c>
      <x:c r="D103" s="65" t="str">
        <x:v>n/a (no row returned)</x:v>
      </x:c>
      <x:c r="E103" s="65" t="str">
        <x:v>n/a (no row returned)</x:v>
      </x:c>
      <x:c r="F103" s="65" t="str">
        <x:v>n/a (no row returned)</x:v>
      </x:c>
      <x:c r="G103" s="65" t="str">
        <x:v>n/a (not returned by endpoint)</x:v>
      </x:c>
      <x:c r="H103" s="65" t="str">
        <x:v>n/a (not returned by endpoint)</x:v>
      </x:c>
      <x:c r="I103" s="65" t="str">
        <x:v>no_data</x:v>
      </x:c>
    </x:row>
    <x:row r="104">
      <x:c r="A104" s="65" t="str">
        <x:v>claude code for non technical beginners</x:v>
      </x:c>
      <x:c r="B104" s="65" t="str">
        <x:v>US</x:v>
      </x:c>
      <x:c r="C104" s="65" t="str">
        <x:v>n/a (no row returned)</x:v>
      </x:c>
      <x:c r="D104" s="65" t="str">
        <x:v>n/a (no row returned)</x:v>
      </x:c>
      <x:c r="E104" s="65" t="str">
        <x:v>n/a (no row returned)</x:v>
      </x:c>
      <x:c r="F104" s="65" t="str">
        <x:v>n/a (no row returned)</x:v>
      </x:c>
      <x:c r="G104" s="65" t="str">
        <x:v>n/a (not returned by endpoint)</x:v>
      </x:c>
      <x:c r="H104" s="65" t="str">
        <x:v>n/a (not returned by endpoint)</x:v>
      </x:c>
      <x:c r="I104" s="65" t="str">
        <x:v>no_data</x:v>
      </x:c>
    </x:row>
    <x:row r="105">
      <x:c r="A105" s="65" t="str">
        <x:v>claude code for non technical beginners</x:v>
      </x:c>
      <x:c r="B105" s="65" t="str">
        <x:v>UK</x:v>
      </x:c>
      <x:c r="C105" s="65" t="str">
        <x:v>n/a (no row returned)</x:v>
      </x:c>
      <x:c r="D105" s="65" t="str">
        <x:v>n/a (no row returned)</x:v>
      </x:c>
      <x:c r="E105" s="65" t="str">
        <x:v>n/a (no row returned)</x:v>
      </x:c>
      <x:c r="F105" s="65" t="str">
        <x:v>n/a (no row returned)</x:v>
      </x:c>
      <x:c r="G105" s="65" t="str">
        <x:v>n/a (not returned by endpoint)</x:v>
      </x:c>
      <x:c r="H105" s="65" t="str">
        <x:v>n/a (not returned by endpoint)</x:v>
      </x:c>
      <x:c r="I105" s="65" t="str">
        <x:v>no_data</x:v>
      </x:c>
    </x:row>
    <x:row r="106">
      <x:c r="A106" s="65" t="str">
        <x:v>how to use claude code non technical</x:v>
      </x:c>
      <x:c r="B106" s="65" t="str">
        <x:v>US</x:v>
      </x:c>
      <x:c r="C106" s="65" t="str">
        <x:v>n/a (no row returned)</x:v>
      </x:c>
      <x:c r="D106" s="65" t="str">
        <x:v>n/a (no row returned)</x:v>
      </x:c>
      <x:c r="E106" s="65" t="str">
        <x:v>n/a (no row returned)</x:v>
      </x:c>
      <x:c r="F106" s="65" t="str">
        <x:v>n/a (no row returned)</x:v>
      </x:c>
      <x:c r="G106" s="65" t="str">
        <x:v>n/a (not returned by endpoint)</x:v>
      </x:c>
      <x:c r="H106" s="65" t="str">
        <x:v>n/a (not returned by endpoint)</x:v>
      </x:c>
      <x:c r="I106" s="65" t="str">
        <x:v>no_data</x:v>
      </x:c>
    </x:row>
    <x:row r="107">
      <x:c r="A107" s="65" t="str">
        <x:v>how to use claude code non technical</x:v>
      </x:c>
      <x:c r="B107" s="65" t="str">
        <x:v>UK</x:v>
      </x:c>
      <x:c r="C107" s="65" t="str">
        <x:v>n/a (no row returned)</x:v>
      </x:c>
      <x:c r="D107" s="65" t="str">
        <x:v>n/a (no row returned)</x:v>
      </x:c>
      <x:c r="E107" s="65" t="str">
        <x:v>n/a (no row returned)</x:v>
      </x:c>
      <x:c r="F107" s="65" t="str">
        <x:v>n/a (no row returned)</x:v>
      </x:c>
      <x:c r="G107" s="65" t="str">
        <x:v>n/a (not returned by endpoint)</x:v>
      </x:c>
      <x:c r="H107" s="65" t="str">
        <x:v>n/a (not returned by endpoint)</x:v>
      </x:c>
      <x:c r="I107" s="65" t="str">
        <x:v>no_data</x:v>
      </x:c>
    </x:row>
    <x:row r="108">
      <x:c r="A108" s="65" t="str">
        <x:v>lovable for beginners</x:v>
      </x:c>
      <x:c r="B108" s="65" t="str">
        <x:v>US</x:v>
      </x:c>
      <x:c r="C108" s="65" t="str">
        <x:v>n/a (no row returned)</x:v>
      </x:c>
      <x:c r="D108" s="65" t="str">
        <x:v>n/a (no row returned)</x:v>
      </x:c>
      <x:c r="E108" s="65" t="str">
        <x:v>n/a (no row returned)</x:v>
      </x:c>
      <x:c r="F108" s="65" t="str">
        <x:v>n/a (no row returned)</x:v>
      </x:c>
      <x:c r="G108" s="65" t="str">
        <x:v>n/a (not returned by endpoint)</x:v>
      </x:c>
      <x:c r="H108" s="65" t="str">
        <x:v>n/a (not returned by endpoint)</x:v>
      </x:c>
      <x:c r="I108" s="65" t="str">
        <x:v>no_data</x:v>
      </x:c>
    </x:row>
    <x:row r="109">
      <x:c r="A109" s="65" t="str">
        <x:v>lovable for beginners</x:v>
      </x:c>
      <x:c r="B109" s="65" t="str">
        <x:v>UK</x:v>
      </x:c>
      <x:c r="C109" s="65" t="str">
        <x:v>n/a (no row returned)</x:v>
      </x:c>
      <x:c r="D109" s="65" t="str">
        <x:v>n/a (no row returned)</x:v>
      </x:c>
      <x:c r="E109" s="65" t="str">
        <x:v>n/a (no row returned)</x:v>
      </x:c>
      <x:c r="F109" s="65" t="str">
        <x:v>n/a (no row returned)</x:v>
      </x:c>
      <x:c r="G109" s="65" t="str">
        <x:v>n/a (not returned by endpoint)</x:v>
      </x:c>
      <x:c r="H109" s="65" t="str">
        <x:v>n/a (not returned by endpoint)</x:v>
      </x:c>
      <x:c r="I109" s="65" t="str">
        <x:v>no_data</x:v>
      </x:c>
    </x:row>
    <x:row r="110">
      <x:c r="A110" s="65" t="str">
        <x:v>build mvp with ai</x:v>
      </x:c>
      <x:c r="B110" s="65" t="str">
        <x:v>US</x:v>
      </x:c>
      <x:c r="C110" s="65" t="str">
        <x:v>20/mo</x:v>
      </x:c>
      <x:c r="D110" s="65" t="str">
        <x:v>0/100</x:v>
      </x:c>
      <x:c r="E110" s="65" t="str">
        <x:v>$0</x:v>
      </x:c>
      <x:c r="F110" s="65" t="str">
        <x:v>0.31 (low)</x:v>
      </x:c>
      <x:c r="G110" s="65" t="str">
        <x:v>n/a (not returned by endpoint)</x:v>
      </x:c>
      <x:c r="H110" s="65" t="str">
        <x:v>n/a (not returned by endpoint)</x:v>
      </x:c>
      <x:c r="I110" s="65" t="str">
        <x:v>ok</x:v>
      </x:c>
    </x:row>
    <x:row r="111">
      <x:c r="A111" s="65" t="str">
        <x:v>build mvp with ai</x:v>
      </x:c>
      <x:c r="B111" s="65" t="str">
        <x:v>UK</x:v>
      </x:c>
      <x:c r="C111" s="65" t="str">
        <x:v>20/mo</x:v>
      </x:c>
      <x:c r="D111" s="65" t="str">
        <x:v>0/100</x:v>
      </x:c>
      <x:c r="E111" s="65" t="str">
        <x:v>$0</x:v>
      </x:c>
      <x:c r="F111" s="65" t="str">
        <x:v>0 (low)</x:v>
      </x:c>
      <x:c r="G111" s="65" t="str">
        <x:v>n/a (not returned by endpoint)</x:v>
      </x:c>
      <x:c r="H111" s="65" t="str">
        <x:v>n/a (not returned by endpoint)</x:v>
      </x:c>
      <x:c r="I111" s="65" t="str">
        <x:v>ok</x:v>
      </x:c>
    </x:row>
    <x:row r="112">
      <x:c r="A112" s="65" t="str">
        <x:v>how to use github for non coders</x:v>
      </x:c>
      <x:c r="B112" s="65" t="str">
        <x:v>US</x:v>
      </x:c>
      <x:c r="C112" s="65" t="str">
        <x:v>n/a (no row returned)</x:v>
      </x:c>
      <x:c r="D112" s="65" t="str">
        <x:v>n/a (no row returned)</x:v>
      </x:c>
      <x:c r="E112" s="65" t="str">
        <x:v>n/a (no row returned)</x:v>
      </x:c>
      <x:c r="F112" s="65" t="str">
        <x:v>n/a (no row returned)</x:v>
      </x:c>
      <x:c r="G112" s="65" t="str">
        <x:v>n/a (not returned by endpoint)</x:v>
      </x:c>
      <x:c r="H112" s="65" t="str">
        <x:v>n/a (not returned by endpoint)</x:v>
      </x:c>
      <x:c r="I112" s="65" t="str">
        <x:v>no_data</x:v>
      </x:c>
    </x:row>
    <x:row r="113">
      <x:c r="A113" s="65" t="str">
        <x:v>how to use github for non coders</x:v>
      </x:c>
      <x:c r="B113" s="65" t="str">
        <x:v>UK</x:v>
      </x:c>
      <x:c r="C113" s="65" t="str">
        <x:v>n/a (no row returned)</x:v>
      </x:c>
      <x:c r="D113" s="65" t="str">
        <x:v>n/a (no row returned)</x:v>
      </x:c>
      <x:c r="E113" s="65" t="str">
        <x:v>n/a (no row returned)</x:v>
      </x:c>
      <x:c r="F113" s="65" t="str">
        <x:v>n/a (no row returned)</x:v>
      </x:c>
      <x:c r="G113" s="65" t="str">
        <x:v>n/a (not returned by endpoint)</x:v>
      </x:c>
      <x:c r="H113" s="65" t="str">
        <x:v>n/a (not returned by endpoint)</x:v>
      </x:c>
      <x:c r="I113" s="65" t="str">
        <x:v>no_data</x:v>
      </x:c>
    </x:row>
    <x:row r="114">
      <x:c r="A114" s="65" t="str">
        <x:v>vibe coding production apps</x:v>
      </x:c>
      <x:c r="B114" s="65" t="str">
        <x:v>US</x:v>
      </x:c>
      <x:c r="C114" s="65" t="str">
        <x:v>n/a (no row returned)</x:v>
      </x:c>
      <x:c r="D114" s="65" t="str">
        <x:v>n/a (no row returned)</x:v>
      </x:c>
      <x:c r="E114" s="65" t="str">
        <x:v>n/a (no row returned)</x:v>
      </x:c>
      <x:c r="F114" s="65" t="str">
        <x:v>n/a (no row returned)</x:v>
      </x:c>
      <x:c r="G114" s="65" t="str">
        <x:v>n/a (not returned by endpoint)</x:v>
      </x:c>
      <x:c r="H114" s="65" t="str">
        <x:v>n/a (not returned by endpoint)</x:v>
      </x:c>
      <x:c r="I114" s="65" t="str">
        <x:v>no_data</x:v>
      </x:c>
    </x:row>
    <x:row r="115">
      <x:c r="A115" s="65" t="str">
        <x:v>vibe coding production apps</x:v>
      </x:c>
      <x:c r="B115" s="65" t="str">
        <x:v>UK</x:v>
      </x:c>
      <x:c r="C115" s="65" t="str">
        <x:v>n/a (no row returned)</x:v>
      </x:c>
      <x:c r="D115" s="65" t="str">
        <x:v>n/a (no row returned)</x:v>
      </x:c>
      <x:c r="E115" s="65" t="str">
        <x:v>n/a (no row returned)</x:v>
      </x:c>
      <x:c r="F115" s="65" t="str">
        <x:v>n/a (no row returned)</x:v>
      </x:c>
      <x:c r="G115" s="65" t="str">
        <x:v>n/a (not returned by endpoint)</x:v>
      </x:c>
      <x:c r="H115" s="65" t="str">
        <x:v>n/a (not returned by endpoint)</x:v>
      </x:c>
      <x:c r="I115" s="65" t="str">
        <x:v>no_data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06d48e8d7fbf4b4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6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36" hidden="0" customWidth="1"/>
  </x:cols>
  <x:sheetData>
    <x:row r="1" ht="32" customHeight="1">
      <x:c r="A1" s="3" t="str">
        <x:v>Raw Dataset B — related/discovered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Verbatim supplied semantic expansion; includes off-topic matches by design.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3" ht="34" customHeight="1">
      <x:c r="A3" s="14" t="str">
        <x:v>keyword</x:v>
      </x:c>
      <x:c r="B3" s="24" t="str">
        <x:v>source_seeds</x:v>
      </x:c>
      <x:c r="C3" s="24" t="str">
        <x:v>relationship_type</x:v>
      </x:c>
      <x:c r="D3" s="24" t="str">
        <x:v>US_volume</x:v>
      </x:c>
      <x:c r="E3" s="24" t="str">
        <x:v>UK_volume</x:v>
      </x:c>
      <x:c r="F3" s="24" t="str">
        <x:v>KDI_US</x:v>
      </x:c>
      <x:c r="G3" s="24" t="str">
        <x:v>KDI_UK</x:v>
      </x:c>
      <x:c r="H3" s="24" t="str">
        <x:v>CPC_US</x:v>
      </x:c>
      <x:c r="I3" s="24" t="str">
        <x:v>CPC_UK</x:v>
      </x:c>
      <x:c r="J3" s="24" t="str">
        <x:v>competition_US</x:v>
      </x:c>
      <x:c r="K3" s="24" t="str">
        <x:v>competition_UK</x:v>
      </x:c>
      <x:c r="L3" s="24" t="str">
        <x:v>intent</x:v>
      </x:c>
      <x:c r="M3" s="15" t="str">
        <x:v>trend/history</x:v>
      </x:c>
    </x:row>
    <x:row r="4">
      <x:c r="A4" s="64" t="str">
        <x:v>api</x:v>
      </x:c>
      <x:c r="B4" s="64" t="str">
        <x:v>how does an api work; what is an api and how does it work</x:v>
      </x:c>
      <x:c r="C4" s="64" t="str">
        <x:v>related</x:v>
      </x:c>
      <x:c r="D4" s="64" t="str">
        <x:v>135,000/mo</x:v>
      </x:c>
      <x:c r="E4" s="64" t="str">
        <x:v>27,100/mo</x:v>
      </x:c>
      <x:c r="F4" s="64" t="str">
        <x:v>n/a (not returned by endpoint)</x:v>
      </x:c>
      <x:c r="G4" s="64" t="str">
        <x:v>72/100</x:v>
      </x:c>
      <x:c r="H4" s="64" t="str">
        <x:v>$2.91</x:v>
      </x:c>
      <x:c r="I4" s="64" t="str">
        <x:v>$2.03</x:v>
      </x:c>
      <x:c r="J4" s="64" t="str">
        <x:v>0.04 (low)</x:v>
      </x:c>
      <x:c r="K4" s="64" t="str">
        <x:v>0.05 (low)</x:v>
      </x:c>
      <x:c r="L4" s="64" t="str">
        <x:v>n/a (not returned by endpoint)</x:v>
      </x:c>
      <x:c r="M4" s="64" t="str">
        <x:v>n/a (not returned by endpoint)</x:v>
      </x:c>
    </x:row>
    <x:row r="5">
      <x:c r="A5" s="65" t="str">
        <x:v>api connection</x:v>
      </x:c>
      <x:c r="B5" s="65" t="str">
        <x:v>how does api integration work</x:v>
      </x:c>
      <x:c r="C5" s="65" t="str">
        <x:v>related</x:v>
      </x:c>
      <x:c r="D5" s="65" t="str">
        <x:v>1,300/mo</x:v>
      </x:c>
      <x:c r="E5" s="65" t="str">
        <x:v>170/mo</x:v>
      </x:c>
      <x:c r="F5" s="65" t="str">
        <x:v>n/a (not returned by endpoint)</x:v>
      </x:c>
      <x:c r="G5" s="65" t="str">
        <x:v>61/100</x:v>
      </x:c>
      <x:c r="H5" s="65" t="str">
        <x:v>$3.04</x:v>
      </x:c>
      <x:c r="I5" s="65" t="str">
        <x:v>$5.61</x:v>
      </x:c>
      <x:c r="J5" s="65" t="str">
        <x:v>0.08 (low)</x:v>
      </x:c>
      <x:c r="K5" s="65" t="str">
        <x:v>0.09 (low)</x:v>
      </x:c>
      <x:c r="L5" s="65" t="str">
        <x:v>n/a (not returned by endpoint)</x:v>
      </x:c>
      <x:c r="M5" s="65" t="str">
        <x:v>n/a (not returned by endpoint)</x:v>
      </x:c>
    </x:row>
    <x:row r="6">
      <x:c r="A6" s="65" t="str">
        <x:v>api development</x:v>
      </x:c>
      <x:c r="B6" s="65" t="str">
        <x:v>how does an api work; what is an api and how does it work</x:v>
      </x:c>
      <x:c r="C6" s="65" t="str">
        <x:v>related</x:v>
      </x:c>
      <x:c r="D6" s="65" t="str">
        <x:v>9,900/mo</x:v>
      </x:c>
      <x:c r="E6" s="65" t="str">
        <x:v>720/mo</x:v>
      </x:c>
      <x:c r="F6" s="65" t="str">
        <x:v>n/a (not returned by endpoint)</x:v>
      </x:c>
      <x:c r="G6" s="65" t="str">
        <x:v>45/100</x:v>
      </x:c>
      <x:c r="H6" s="65" t="str">
        <x:v>$7.22</x:v>
      </x:c>
      <x:c r="I6" s="65" t="str">
        <x:v>$3.9</x:v>
      </x:c>
      <x:c r="J6" s="65" t="str">
        <x:v>0.2 (low)</x:v>
      </x:c>
      <x:c r="K6" s="65" t="str">
        <x:v>0.1 (low)</x:v>
      </x:c>
      <x:c r="L6" s="65" t="str">
        <x:v>n/a (not returned by endpoint)</x:v>
      </x:c>
      <x:c r="M6" s="65" t="str">
        <x:v>n/a (not returned by endpoint)</x:v>
      </x:c>
    </x:row>
    <x:row r="7">
      <x:c r="A7" s="65" t="str">
        <x:v>api integration</x:v>
      </x:c>
      <x:c r="B7" s="65" t="str">
        <x:v>how does api integration work</x:v>
      </x:c>
      <x:c r="C7" s="65" t="str">
        <x:v>related</x:v>
      </x:c>
      <x:c r="D7" s="65" t="str">
        <x:v>5,400/mo</x:v>
      </x:c>
      <x:c r="E7" s="65" t="str">
        <x:v>1,600/mo</x:v>
      </x:c>
      <x:c r="F7" s="65" t="str">
        <x:v>n/a (not returned by endpoint)</x:v>
      </x:c>
      <x:c r="G7" s="65" t="str">
        <x:v>47/100</x:v>
      </x:c>
      <x:c r="H7" s="65" t="str">
        <x:v>$10.26</x:v>
      </x:c>
      <x:c r="I7" s="65" t="str">
        <x:v>$6.4</x:v>
      </x:c>
      <x:c r="J7" s="65" t="str">
        <x:v>0.23 (low)</x:v>
      </x:c>
      <x:c r="K7" s="65" t="str">
        <x:v>0.16 (low)</x:v>
      </x:c>
      <x:c r="L7" s="65" t="str">
        <x:v>n/a (not returned by endpoint)</x:v>
      </x:c>
      <x:c r="M7" s="65" t="str">
        <x:v>n/a (not returned by endpoint)</x:v>
      </x:c>
    </x:row>
    <x:row r="8">
      <x:c r="A8" s="65" t="str">
        <x:v>api integration services</x:v>
      </x:c>
      <x:c r="B8" s="65" t="str">
        <x:v>how does api integration work</x:v>
      </x:c>
      <x:c r="C8" s="65" t="str">
        <x:v>related</x:v>
      </x:c>
      <x:c r="D8" s="65" t="str">
        <x:v>1,300/mo</x:v>
      </x:c>
      <x:c r="E8" s="65" t="str">
        <x:v>480/mo</x:v>
      </x:c>
      <x:c r="F8" s="65" t="str">
        <x:v>n/a (not returned by endpoint)</x:v>
      </x:c>
      <x:c r="G8" s="65" t="str">
        <x:v>22/100</x:v>
      </x:c>
      <x:c r="H8" s="65" t="str">
        <x:v>$14.76</x:v>
      </x:c>
      <x:c r="I8" s="65" t="str">
        <x:v>$11.31</x:v>
      </x:c>
      <x:c r="J8" s="65" t="str">
        <x:v>0.03 (low)</x:v>
      </x:c>
      <x:c r="K8" s="65" t="str">
        <x:v>0.03 (low)</x:v>
      </x:c>
      <x:c r="L8" s="65" t="str">
        <x:v>n/a (not returned by endpoint)</x:v>
      </x:c>
      <x:c r="M8" s="65" t="str">
        <x:v>n/a (not returned by endpoint)</x:v>
      </x:c>
    </x:row>
    <x:row r="9">
      <x:c r="A9" s="65" t="str">
        <x:v>api integrations</x:v>
      </x:c>
      <x:c r="B9" s="65" t="str">
        <x:v>how does api integration work</x:v>
      </x:c>
      <x:c r="C9" s="65" t="str">
        <x:v>related</x:v>
      </x:c>
      <x:c r="D9" s="65" t="str">
        <x:v>1,300/mo</x:v>
      </x:c>
      <x:c r="E9" s="65" t="str">
        <x:v>260/mo</x:v>
      </x:c>
      <x:c r="F9" s="65" t="str">
        <x:v>n/a (not returned by endpoint)</x:v>
      </x:c>
      <x:c r="G9" s="65" t="str">
        <x:v>40/100</x:v>
      </x:c>
      <x:c r="H9" s="65" t="str">
        <x:v>$8</x:v>
      </x:c>
      <x:c r="I9" s="65" t="str">
        <x:v>$6.4</x:v>
      </x:c>
      <x:c r="J9" s="65" t="str">
        <x:v>0.19 (low)</x:v>
      </x:c>
      <x:c r="K9" s="65" t="str">
        <x:v>0.16 (low)</x:v>
      </x:c>
      <x:c r="L9" s="65" t="str">
        <x:v>n/a (not returned by endpoint)</x:v>
      </x:c>
      <x:c r="M9" s="65" t="str">
        <x:v>n/a (not returned by endpoint)</x:v>
      </x:c>
    </x:row>
    <x:row r="10">
      <x:c r="A10" s="65" t="str">
        <x:v>api meaning</x:v>
      </x:c>
      <x:c r="B10" s="65" t="str">
        <x:v>how does an api work; what is an api and how does it work</x:v>
      </x:c>
      <x:c r="C10" s="65" t="str">
        <x:v>related</x:v>
      </x:c>
      <x:c r="D10" s="65" t="str">
        <x:v>40,500/mo</x:v>
      </x:c>
      <x:c r="E10" s="65" t="str">
        <x:v>12,100/mo</x:v>
      </x:c>
      <x:c r="F10" s="65" t="str">
        <x:v>n/a (not returned by endpoint)</x:v>
      </x:c>
      <x:c r="G10" s="65" t="str">
        <x:v>56/100</x:v>
      </x:c>
      <x:c r="H10" s="65" t="str">
        <x:v>$0.41</x:v>
      </x:c>
      <x:c r="I10" s="65" t="str">
        <x:v>$0.85</x:v>
      </x:c>
      <x:c r="J10" s="65" t="str">
        <x:v>0.03 (low)</x:v>
      </x:c>
      <x:c r="K10" s="65" t="str">
        <x:v>0.01 (low)</x:v>
      </x:c>
      <x:c r="L10" s="65" t="str">
        <x:v>n/a (not returned by endpoint)</x:v>
      </x:c>
      <x:c r="M10" s="65" t="str">
        <x:v>n/a (not returned by endpoint)</x:v>
      </x:c>
    </x:row>
    <x:row r="11">
      <x:c r="A11" s="65" t="str">
        <x:v>api software</x:v>
      </x:c>
      <x:c r="B11" s="65" t="str">
        <x:v>how does api integration work</x:v>
      </x:c>
      <x:c r="C11" s="65" t="str">
        <x:v>related</x:v>
      </x:c>
      <x:c r="D11" s="65" t="str">
        <x:v>1,300/mo</x:v>
      </x:c>
      <x:c r="E11" s="65" t="str">
        <x:v>320/mo</x:v>
      </x:c>
      <x:c r="F11" s="65" t="str">
        <x:v>n/a (not returned by endpoint)</x:v>
      </x:c>
      <x:c r="G11" s="65" t="str">
        <x:v>36/100</x:v>
      </x:c>
      <x:c r="H11" s="65" t="str">
        <x:v>$6.26</x:v>
      </x:c>
      <x:c r="I11" s="65" t="str">
        <x:v>$5.75</x:v>
      </x:c>
      <x:c r="J11" s="65" t="str">
        <x:v>0.16 (low)</x:v>
      </x:c>
      <x:c r="K11" s="65" t="str">
        <x:v>0.19 (low)</x:v>
      </x:c>
      <x:c r="L11" s="65" t="str">
        <x:v>n/a (not returned by endpoint)</x:v>
      </x:c>
      <x:c r="M11" s="65" t="str">
        <x:v>n/a (not returned by endpoint)</x:v>
      </x:c>
    </x:row>
    <x:row r="12">
      <x:c r="A12" s="65" t="str">
        <x:v>api vs webhook</x:v>
      </x:c>
      <x:c r="B12" s="65" t="str">
        <x:v>webhooks vs api</x:v>
      </x:c>
      <x:c r="C12" s="65" t="str">
        <x:v>related</x:v>
      </x:c>
      <x:c r="D12" s="65" t="str">
        <x:v>320/mo</x:v>
      </x:c>
      <x:c r="E12" s="65" t="str">
        <x:v>20/mo</x:v>
      </x:c>
      <x:c r="F12" s="65" t="str">
        <x:v>n/a (not returned by endpoint)</x:v>
      </x:c>
      <x:c r="G12" s="65" t="str">
        <x:v>0/100</x:v>
      </x:c>
      <x:c r="H12" s="65" t="str">
        <x:v>$0.5</x:v>
      </x:c>
      <x:c r="I12" s="65" t="str">
        <x:v>$0</x:v>
      </x:c>
      <x:c r="J12" s="65" t="str">
        <x:v>0.05 (low)</x:v>
      </x:c>
      <x:c r="K12" s="65" t="str">
        <x:v>0.02 (low)</x:v>
      </x:c>
      <x:c r="L12" s="65" t="str">
        <x:v>n/a (not returned by endpoint)</x:v>
      </x:c>
      <x:c r="M12" s="65" t="str">
        <x:v>n/a (not returned by endpoint)</x:v>
      </x:c>
    </x:row>
    <x:row r="13">
      <x:c r="A13" s="65" t="str">
        <x:v>apis</x:v>
      </x:c>
      <x:c r="B13" s="65" t="str">
        <x:v>how does an api work; what is an api and how does it work</x:v>
      </x:c>
      <x:c r="C13" s="65" t="str">
        <x:v>related</x:v>
      </x:c>
      <x:c r="D13" s="65" t="str">
        <x:v>33,100/mo</x:v>
      </x:c>
      <x:c r="E13" s="65" t="str">
        <x:v>8,100/mo</x:v>
      </x:c>
      <x:c r="F13" s="65" t="str">
        <x:v>n/a (not returned by endpoint)</x:v>
      </x:c>
      <x:c r="G13" s="65" t="str">
        <x:v>59/100</x:v>
      </x:c>
      <x:c r="H13" s="65" t="str">
        <x:v>$2.91</x:v>
      </x:c>
      <x:c r="I13" s="65" t="str">
        <x:v>$2.03</x:v>
      </x:c>
      <x:c r="J13" s="65" t="str">
        <x:v>0.04 (low)</x:v>
      </x:c>
      <x:c r="K13" s="65" t="str">
        <x:v>0.05 (low)</x:v>
      </x:c>
      <x:c r="L13" s="65" t="str">
        <x:v>n/a (not returned by endpoint)</x:v>
      </x:c>
      <x:c r="M13" s="65" t="str">
        <x:v>n/a (not returned by endpoint)</x:v>
      </x:c>
    </x:row>
    <x:row r="14">
      <x:c r="A14" s="65" t="str">
        <x:v>application programming interface meaning</x:v>
      </x:c>
      <x:c r="B14" s="65" t="str">
        <x:v>how does an api work; what is an api and how does it work</x:v>
      </x:c>
      <x:c r="C14" s="65" t="str">
        <x:v>related</x:v>
      </x:c>
      <x:c r="D14" s="65" t="str">
        <x:v>12,100/mo</x:v>
      </x:c>
      <x:c r="E14" s="65" t="str">
        <x:v>170/mo</x:v>
      </x:c>
      <x:c r="F14" s="65" t="str">
        <x:v>n/a (not returned by endpoint)</x:v>
      </x:c>
      <x:c r="G14" s="65" t="str">
        <x:v>0/100</x:v>
      </x:c>
      <x:c r="H14" s="65" t="str">
        <x:v>$0.41</x:v>
      </x:c>
      <x:c r="I14" s="65" t="str">
        <x:v>$0.88</x:v>
      </x:c>
      <x:c r="J14" s="65" t="str">
        <x:v>0.03 (low)</x:v>
      </x:c>
      <x:c r="K14" s="65" t="str">
        <x:v>0.01 (low)</x:v>
      </x:c>
      <x:c r="L14" s="65" t="str">
        <x:v>n/a (not returned by endpoint)</x:v>
      </x:c>
      <x:c r="M14" s="65" t="str">
        <x:v>n/a (not returned by endpoint)</x:v>
      </x:c>
    </x:row>
    <x:row r="15">
      <x:c r="A15" s="65" t="str">
        <x:v>c.i.</x:v>
      </x:c>
      <x:c r="B15" s="65" t="str">
        <x:v>how does ci cd pipeline work</x:v>
      </x:c>
      <x:c r="C15" s="65" t="str">
        <x:v>related</x:v>
      </x:c>
      <x:c r="D15" s="65" t="str">
        <x:v>6,600/mo</x:v>
      </x:c>
      <x:c r="E15" s="65" t="str">
        <x:v>110/mo</x:v>
      </x:c>
      <x:c r="F15" s="65" t="str">
        <x:v>n/a (not returned by endpoint)</x:v>
      </x:c>
      <x:c r="G15" s="65" t="str">
        <x:v>85/100</x:v>
      </x:c>
      <x:c r="H15" s="65" t="str">
        <x:v>$2.97</x:v>
      </x:c>
      <x:c r="I15" s="65" t="str">
        <x:v>$4.18</x:v>
      </x:c>
      <x:c r="J15" s="65" t="str">
        <x:v>0.33 (medium)</x:v>
      </x:c>
      <x:c r="K15" s="65" t="str">
        <x:v>0.33 (medium)</x:v>
      </x:c>
      <x:c r="L15" s="65" t="str">
        <x:v>n/a (not returned by endpoint)</x:v>
      </x:c>
      <x:c r="M15" s="65" t="str">
        <x:v>n/a (not returned by endpoint)</x:v>
      </x:c>
    </x:row>
    <x:row r="16">
      <x:c r="A16" s="65" t="str">
        <x:v>can i update backend database with frontend database is used</x:v>
      </x:c>
      <x:c r="B16" s="65" t="str">
        <x:v>frontend backend database</x:v>
      </x:c>
      <x:c r="C16" s="65" t="str">
        <x:v>question</x:v>
      </x:c>
      <x:c r="D16" s="65" t="str">
        <x:v>0/mo</x:v>
      </x:c>
      <x:c r="E16" s="65" t="str">
        <x:v>n/a (no row returned)</x:v>
      </x:c>
      <x:c r="F16" s="65" t="str">
        <x:v>n/a (not returned by endpoint)</x:v>
      </x:c>
      <x:c r="G16" s="65" t="str">
        <x:v>n/a (no row returned)</x:v>
      </x:c>
      <x:c r="H16" s="65" t="str">
        <x:v>$0</x:v>
      </x:c>
      <x:c r="I16" s="65" t="str">
        <x:v>n/a (no row returned)</x:v>
      </x:c>
      <x:c r="J16" s="65" t="str">
        <x:v>0 (low)</x:v>
      </x:c>
      <x:c r="K16" s="65" t="str">
        <x:v>n/a (no row returned)</x:v>
      </x:c>
      <x:c r="L16" s="65" t="str">
        <x:v>n/a (not returned by endpoint)</x:v>
      </x:c>
      <x:c r="M16" s="65" t="str">
        <x:v>n/a (not returned by endpoint)</x:v>
      </x:c>
    </x:row>
    <x:row r="17">
      <x:c r="A17" s="65" t="str">
        <x:v>chat gpt browser. to automate vibing coding</x:v>
      </x:c>
      <x:c r="B17" s="65" t="str">
        <x:v>vibe coding for beginners</x:v>
      </x:c>
      <x:c r="C17" s="65" t="str">
        <x:v>related</x:v>
      </x:c>
      <x:c r="D17" s="65" t="str">
        <x:v>1,900/mo</x:v>
      </x:c>
      <x:c r="E17" s="65" t="str">
        <x:v>n/a (no row returned)</x:v>
      </x:c>
      <x:c r="F17" s="65" t="str">
        <x:v>n/a (not returned by endpoint)</x:v>
      </x:c>
      <x:c r="G17" s="65" t="str">
        <x:v>n/a (no row returned)</x:v>
      </x:c>
      <x:c r="H17" s="65" t="str">
        <x:v>$0</x:v>
      </x:c>
      <x:c r="I17" s="65" t="str">
        <x:v>n/a (no row returned)</x:v>
      </x:c>
      <x:c r="J17" s="65" t="str">
        <x:v>0 (low)</x:v>
      </x:c>
      <x:c r="K17" s="65" t="str">
        <x:v>n/a (no row returned)</x:v>
      </x:c>
      <x:c r="L17" s="65" t="str">
        <x:v>n/a (not returned by endpoint)</x:v>
      </x:c>
      <x:c r="M17" s="65" t="str">
        <x:v>n/a (not returned by endpoint)</x:v>
      </x:c>
    </x:row>
    <x:row r="18">
      <x:c r="A18" s="65" t="str">
        <x:v>ci</x:v>
      </x:c>
      <x:c r="B18" s="65" t="str">
        <x:v>how does ci cd pipeline work</x:v>
      </x:c>
      <x:c r="C18" s="65" t="str">
        <x:v>related</x:v>
      </x:c>
      <x:c r="D18" s="65" t="str">
        <x:v>74,000/mo</x:v>
      </x:c>
      <x:c r="E18" s="65" t="str">
        <x:v>22,200/mo</x:v>
      </x:c>
      <x:c r="F18" s="65" t="str">
        <x:v>n/a (not returned by endpoint)</x:v>
      </x:c>
      <x:c r="G18" s="65" t="str">
        <x:v>88/100</x:v>
      </x:c>
      <x:c r="H18" s="65" t="str">
        <x:v>$2.97</x:v>
      </x:c>
      <x:c r="I18" s="65" t="str">
        <x:v>$4.18</x:v>
      </x:c>
      <x:c r="J18" s="65" t="str">
        <x:v>0.33 (medium)</x:v>
      </x:c>
      <x:c r="K18" s="65" t="str">
        <x:v>0.33 (medium)</x:v>
      </x:c>
      <x:c r="L18" s="65" t="str">
        <x:v>n/a (not returned by endpoint)</x:v>
      </x:c>
      <x:c r="M18" s="65" t="str">
        <x:v>n/a (not returned by endpoint)</x:v>
      </x:c>
    </x:row>
    <x:row r="19">
      <x:c r="A19" s="65" t="str">
        <x:v>ci cd</x:v>
      </x:c>
      <x:c r="B19" s="65" t="str">
        <x:v>how does ci cd pipeline work</x:v>
      </x:c>
      <x:c r="C19" s="65" t="str">
        <x:v>related</x:v>
      </x:c>
      <x:c r="D19" s="65" t="str">
        <x:v>8,100/mo</x:v>
      </x:c>
      <x:c r="E19" s="65" t="str">
        <x:v>2,400/mo</x:v>
      </x:c>
      <x:c r="F19" s="65" t="str">
        <x:v>n/a (not returned by endpoint)</x:v>
      </x:c>
      <x:c r="G19" s="65" t="str">
        <x:v>59/100</x:v>
      </x:c>
      <x:c r="H19" s="65" t="str">
        <x:v>$2.92</x:v>
      </x:c>
      <x:c r="I19" s="65" t="str">
        <x:v>$1.68</x:v>
      </x:c>
      <x:c r="J19" s="65" t="str">
        <x:v>0.04 (low)</x:v>
      </x:c>
      <x:c r="K19" s="65" t="str">
        <x:v>0.04 (low)</x:v>
      </x:c>
      <x:c r="L19" s="65" t="str">
        <x:v>n/a (not returned by endpoint)</x:v>
      </x:c>
      <x:c r="M19" s="65" t="str">
        <x:v>n/a (not returned by endpoint)</x:v>
      </x:c>
    </x:row>
    <x:row r="20">
      <x:c r="A20" s="65" t="str">
        <x:v>ci/cd</x:v>
      </x:c>
      <x:c r="B20" s="65" t="str">
        <x:v>how does ci cd pipeline work</x:v>
      </x:c>
      <x:c r="C20" s="65" t="str">
        <x:v>related</x:v>
      </x:c>
      <x:c r="D20" s="65" t="str">
        <x:v>14,800/mo</x:v>
      </x:c>
      <x:c r="E20" s="65" t="str">
        <x:v>3,600/mo</x:v>
      </x:c>
      <x:c r="F20" s="65" t="str">
        <x:v>n/a (not returned by endpoint)</x:v>
      </x:c>
      <x:c r="G20" s="65" t="str">
        <x:v>59/100</x:v>
      </x:c>
      <x:c r="H20" s="65" t="str">
        <x:v>$2.92</x:v>
      </x:c>
      <x:c r="I20" s="65" t="str">
        <x:v>$1.68</x:v>
      </x:c>
      <x:c r="J20" s="65" t="str">
        <x:v>0.04 (low)</x:v>
      </x:c>
      <x:c r="K20" s="65" t="str">
        <x:v>0.04 (low)</x:v>
      </x:c>
      <x:c r="L20" s="65" t="str">
        <x:v>n/a (not returned by endpoint)</x:v>
      </x:c>
      <x:c r="M20" s="65" t="str">
        <x:v>n/a (not returned by endpoint)</x:v>
      </x:c>
    </x:row>
    <x:row r="21">
      <x:c r="A21" s="65" t="str">
        <x:v>ci/cd news</x:v>
      </x:c>
      <x:c r="B21" s="65" t="str">
        <x:v>how does ci cd pipeline work</x:v>
      </x:c>
      <x:c r="C21" s="65" t="str">
        <x:v>related</x:v>
      </x:c>
      <x:c r="D21" s="65" t="str">
        <x:v>5,400/mo</x:v>
      </x:c>
      <x:c r="E21" s="65" t="str">
        <x:v>0/mo</x:v>
      </x:c>
      <x:c r="F21" s="65" t="str">
        <x:v>n/a (not returned by endpoint)</x:v>
      </x:c>
      <x:c r="G21" s="65" t="str">
        <x:v>0/100</x:v>
      </x:c>
      <x:c r="H21" s="65" t="str">
        <x:v>$0</x:v>
      </x:c>
      <x:c r="I21" s="65" t="str">
        <x:v>$0</x:v>
      </x:c>
      <x:c r="J21" s="65" t="str">
        <x:v>0.33 (medium)</x:v>
      </x:c>
      <x:c r="K21" s="65" t="str">
        <x:v>0 (low)</x:v>
      </x:c>
      <x:c r="L21" s="65" t="str">
        <x:v>n/a (not returned by endpoint)</x:v>
      </x:c>
      <x:c r="M21" s="65" t="str">
        <x:v>n/a (not returned by endpoint)</x:v>
      </x:c>
    </x:row>
    <x:row r="22">
      <x:c r="A22" s="65" t="str">
        <x:v>cicd</x:v>
      </x:c>
      <x:c r="B22" s="65" t="str">
        <x:v>how does ci cd pipeline work</x:v>
      </x:c>
      <x:c r="C22" s="65" t="str">
        <x:v>related</x:v>
      </x:c>
      <x:c r="D22" s="65" t="str">
        <x:v>9,900/mo</x:v>
      </x:c>
      <x:c r="E22" s="65" t="str">
        <x:v>2,400/mo</x:v>
      </x:c>
      <x:c r="F22" s="65" t="str">
        <x:v>n/a (not returned by endpoint)</x:v>
      </x:c>
      <x:c r="G22" s="65" t="str">
        <x:v>61/100</x:v>
      </x:c>
      <x:c r="H22" s="65" t="str">
        <x:v>$2.92</x:v>
      </x:c>
      <x:c r="I22" s="65" t="str">
        <x:v>$1.68</x:v>
      </x:c>
      <x:c r="J22" s="65" t="str">
        <x:v>0.04 (low)</x:v>
      </x:c>
      <x:c r="K22" s="65" t="str">
        <x:v>0.04 (low)</x:v>
      </x:c>
      <x:c r="L22" s="65" t="str">
        <x:v>n/a (not returned by endpoint)</x:v>
      </x:c>
      <x:c r="M22" s="65" t="str">
        <x:v>n/a (not returned by endpoint)</x:v>
      </x:c>
    </x:row>
    <x:row r="23">
      <x:c r="A23" s="65" t="str">
        <x:v>code debt</x:v>
      </x:c>
      <x:c r="B23" s="65" t="str">
        <x:v>what is technical debt in software development</x:v>
      </x:c>
      <x:c r="C23" s="65" t="str">
        <x:v>related</x:v>
      </x:c>
      <x:c r="D23" s="65" t="str">
        <x:v>1,300/mo</x:v>
      </x:c>
      <x:c r="E23" s="65" t="str">
        <x:v>1,000/mo</x:v>
      </x:c>
      <x:c r="F23" s="65" t="str">
        <x:v>n/a (not returned by endpoint)</x:v>
      </x:c>
      <x:c r="G23" s="65" t="str">
        <x:v>47/100</x:v>
      </x:c>
      <x:c r="H23" s="65" t="str">
        <x:v>$12</x:v>
      </x:c>
      <x:c r="I23" s="65" t="str">
        <x:v>$2.4</x:v>
      </x:c>
      <x:c r="J23" s="65" t="str">
        <x:v>0.02 (low)</x:v>
      </x:c>
      <x:c r="K23" s="65" t="str">
        <x:v>0.01 (low)</x:v>
      </x:c>
      <x:c r="L23" s="65" t="str">
        <x:v>n/a (not returned by endpoint)</x:v>
      </x:c>
      <x:c r="M23" s="65" t="str">
        <x:v>n/a (not returned by endpoint)</x:v>
      </x:c>
    </x:row>
    <x:row r="24">
      <x:c r="A24" s="65" t="str">
        <x:v>continuous deployment</x:v>
      </x:c>
      <x:c r="B24" s="65" t="str">
        <x:v>how does ci cd pipeline work</x:v>
      </x:c>
      <x:c r="C24" s="65" t="str">
        <x:v>related</x:v>
      </x:c>
      <x:c r="D24" s="65" t="str">
        <x:v>6,600/mo</x:v>
      </x:c>
      <x:c r="E24" s="65" t="str">
        <x:v>260/mo</x:v>
      </x:c>
      <x:c r="F24" s="65" t="str">
        <x:v>n/a (not returned by endpoint)</x:v>
      </x:c>
      <x:c r="G24" s="65" t="str">
        <x:v>53/100</x:v>
      </x:c>
      <x:c r="H24" s="65" t="str">
        <x:v>$5.09</x:v>
      </x:c>
      <x:c r="I24" s="65" t="str">
        <x:v>$1.93</x:v>
      </x:c>
      <x:c r="J24" s="65" t="str">
        <x:v>0.04 (low)</x:v>
      </x:c>
      <x:c r="K24" s="65" t="str">
        <x:v>0.04 (low)</x:v>
      </x:c>
      <x:c r="L24" s="65" t="str">
        <x:v>n/a (not returned by endpoint)</x:v>
      </x:c>
      <x:c r="M24" s="65" t="str">
        <x:v>n/a (not returned by endpoint)</x:v>
      </x:c>
    </x:row>
    <x:row r="25">
      <x:c r="A25" s="65" t="str">
        <x:v>continuous integration</x:v>
      </x:c>
      <x:c r="B25" s="65" t="str">
        <x:v>how does ci cd pipeline work</x:v>
      </x:c>
      <x:c r="C25" s="65" t="str">
        <x:v>related</x:v>
      </x:c>
      <x:c r="D25" s="65" t="str">
        <x:v>12,100/mo</x:v>
      </x:c>
      <x:c r="E25" s="65" t="str">
        <x:v>2,900/mo</x:v>
      </x:c>
      <x:c r="F25" s="65" t="str">
        <x:v>n/a (not returned by endpoint)</x:v>
      </x:c>
      <x:c r="G25" s="65" t="str">
        <x:v>81/100</x:v>
      </x:c>
      <x:c r="H25" s="65" t="str">
        <x:v>$2.97</x:v>
      </x:c>
      <x:c r="I25" s="65" t="str">
        <x:v>$4.18</x:v>
      </x:c>
      <x:c r="J25" s="65" t="str">
        <x:v>0.33 (medium)</x:v>
      </x:c>
      <x:c r="K25" s="65" t="str">
        <x:v>0.33 (medium)</x:v>
      </x:c>
      <x:c r="L25" s="65" t="str">
        <x:v>n/a (not returned by endpoint)</x:v>
      </x:c>
      <x:c r="M25" s="65" t="str">
        <x:v>n/a (not returned by endpoint)</x:v>
      </x:c>
    </x:row>
    <x:row r="26">
      <x:c r="A26" s="65" t="str">
        <x:v>continuous integration tools</x:v>
      </x:c>
      <x:c r="B26" s="65" t="str">
        <x:v>how does ci cd pipeline work</x:v>
      </x:c>
      <x:c r="C26" s="65" t="str">
        <x:v>related</x:v>
      </x:c>
      <x:c r="D26" s="65" t="str">
        <x:v>14,800/mo</x:v>
      </x:c>
      <x:c r="E26" s="65" t="str">
        <x:v>140/mo</x:v>
      </x:c>
      <x:c r="F26" s="65" t="str">
        <x:v>n/a (not returned by endpoint)</x:v>
      </x:c>
      <x:c r="G26" s="65" t="str">
        <x:v>42/100</x:v>
      </x:c>
      <x:c r="H26" s="65" t="str">
        <x:v>$10.29</x:v>
      </x:c>
      <x:c r="I26" s="65" t="str">
        <x:v>$5.25</x:v>
      </x:c>
      <x:c r="J26" s="65" t="str">
        <x:v>0.05 (low)</x:v>
      </x:c>
      <x:c r="K26" s="65" t="str">
        <x:v>0.07 (low)</x:v>
      </x:c>
      <x:c r="L26" s="65" t="str">
        <x:v>n/a (not returned by endpoint)</x:v>
      </x:c>
      <x:c r="M26" s="65" t="str">
        <x:v>n/a (not returned by endpoint)</x:v>
      </x:c>
    </x:row>
    <x:row r="27">
      <x:c r="A27" s="65" t="str">
        <x:v>define api</x:v>
      </x:c>
      <x:c r="B27" s="65" t="str">
        <x:v>how does an api work; what is an api and how does it work</x:v>
      </x:c>
      <x:c r="C27" s="65" t="str">
        <x:v>related</x:v>
      </x:c>
      <x:c r="D27" s="65" t="str">
        <x:v>12,100/mo</x:v>
      </x:c>
      <x:c r="E27" s="65" t="str">
        <x:v>2,900/mo</x:v>
      </x:c>
      <x:c r="F27" s="65" t="str">
        <x:v>n/a (not returned by endpoint)</x:v>
      </x:c>
      <x:c r="G27" s="65" t="str">
        <x:v>65/100</x:v>
      </x:c>
      <x:c r="H27" s="65" t="str">
        <x:v>$0.41</x:v>
      </x:c>
      <x:c r="I27" s="65" t="str">
        <x:v>$0.85</x:v>
      </x:c>
      <x:c r="J27" s="65" t="str">
        <x:v>0.03 (low)</x:v>
      </x:c>
      <x:c r="K27" s="65" t="str">
        <x:v>0.01 (low)</x:v>
      </x:c>
      <x:c r="L27" s="65" t="str">
        <x:v>n/a (not returned by endpoint)</x:v>
      </x:c>
      <x:c r="M27" s="65" t="str">
        <x:v>n/a (not returned by endpoint)</x:v>
      </x:c>
    </x:row>
    <x:row r="28">
      <x:c r="A28" s="65" t="str">
        <x:v>define technical debt</x:v>
      </x:c>
      <x:c r="B28" s="65" t="str">
        <x:v>what is technical debt in software development</x:v>
      </x:c>
      <x:c r="C28" s="65" t="str">
        <x:v>related</x:v>
      </x:c>
      <x:c r="D28" s="65" t="str">
        <x:v>880/mo</x:v>
      </x:c>
      <x:c r="E28" s="65" t="str">
        <x:v>260/mo</x:v>
      </x:c>
      <x:c r="F28" s="65" t="str">
        <x:v>n/a (not returned by endpoint)</x:v>
      </x:c>
      <x:c r="G28" s="65" t="str">
        <x:v>45/100</x:v>
      </x:c>
      <x:c r="H28" s="65" t="str">
        <x:v>$1.8</x:v>
      </x:c>
      <x:c r="I28" s="65" t="str">
        <x:v>$0.93</x:v>
      </x:c>
      <x:c r="J28" s="65" t="str">
        <x:v>0.02 (low)</x:v>
      </x:c>
      <x:c r="K28" s="65" t="str">
        <x:v>0.03 (low)</x:v>
      </x:c>
      <x:c r="L28" s="65" t="str">
        <x:v>n/a (not returned by endpoint)</x:v>
      </x:c>
      <x:c r="M28" s="65" t="str">
        <x:v>n/a (not returned by endpoint)</x:v>
      </x:c>
    </x:row>
    <x:row r="29">
      <x:c r="A29" s="65" t="str">
        <x:v>deployment server</x:v>
      </x:c>
      <x:c r="B29" s="65" t="str">
        <x:v>staging vs production</x:v>
      </x:c>
      <x:c r="C29" s="65" t="str">
        <x:v>related</x:v>
      </x:c>
      <x:c r="D29" s="65" t="str">
        <x:v>320/mo</x:v>
      </x:c>
      <x:c r="E29" s="65" t="str">
        <x:v>140/mo</x:v>
      </x:c>
      <x:c r="F29" s="65" t="str">
        <x:v>n/a (not returned by endpoint)</x:v>
      </x:c>
      <x:c r="G29" s="65" t="str">
        <x:v>21/100</x:v>
      </x:c>
      <x:c r="H29" s="65" t="str">
        <x:v>$9.88</x:v>
      </x:c>
      <x:c r="I29" s="65" t="str">
        <x:v>$9.09</x:v>
      </x:c>
      <x:c r="J29" s="65" t="str">
        <x:v>0.08 (low)</x:v>
      </x:c>
      <x:c r="K29" s="65" t="str">
        <x:v>0.09 (low)</x:v>
      </x:c>
      <x:c r="L29" s="65" t="str">
        <x:v>n/a (not returned by endpoint)</x:v>
      </x:c>
      <x:c r="M29" s="65" t="str">
        <x:v>n/a (not returned by endpoint)</x:v>
      </x:c>
    </x:row>
    <x:row r="30">
      <x:c r="A30" s="65" t="str">
        <x:v>dev environment</x:v>
      </x:c>
      <x:c r="B30" s="65" t="str">
        <x:v>staging vs production</x:v>
      </x:c>
      <x:c r="C30" s="65" t="str">
        <x:v>related</x:v>
      </x:c>
      <x:c r="D30" s="65" t="str">
        <x:v>320/mo</x:v>
      </x:c>
      <x:c r="E30" s="65" t="str">
        <x:v>90/mo</x:v>
      </x:c>
      <x:c r="F30" s="65" t="str">
        <x:v>n/a (not returned by endpoint)</x:v>
      </x:c>
      <x:c r="G30" s="65" t="str">
        <x:v>0/100</x:v>
      </x:c>
      <x:c r="H30" s="65" t="str">
        <x:v>$8.98</x:v>
      </x:c>
      <x:c r="I30" s="65" t="str">
        <x:v>$0</x:v>
      </x:c>
      <x:c r="J30" s="65" t="str">
        <x:v>0.02 (low)</x:v>
      </x:c>
      <x:c r="K30" s="65" t="str">
        <x:v>0.02 (low)</x:v>
      </x:c>
      <x:c r="L30" s="65" t="str">
        <x:v>n/a (not returned by endpoint)</x:v>
      </x:c>
      <x:c r="M30" s="65" t="str">
        <x:v>n/a (not returned by endpoint)</x:v>
      </x:c>
    </x:row>
    <x:row r="31">
      <x:c r="A31" s="65" t="str">
        <x:v>dev stage</x:v>
      </x:c>
      <x:c r="B31" s="65" t="str">
        <x:v>staging vs production</x:v>
      </x:c>
      <x:c r="C31" s="65" t="str">
        <x:v>related</x:v>
      </x:c>
      <x:c r="D31" s="65" t="str">
        <x:v>1,600/mo</x:v>
      </x:c>
      <x:c r="E31" s="65" t="str">
        <x:v>390/mo</x:v>
      </x:c>
      <x:c r="F31" s="65" t="str">
        <x:v>n/a (not returned by endpoint)</x:v>
      </x:c>
      <x:c r="G31" s="65" t="str">
        <x:v>27/100</x:v>
      </x:c>
      <x:c r="H31" s="65" t="str">
        <x:v>$2.33</x:v>
      </x:c>
      <x:c r="I31" s="65" t="str">
        <x:v>$1.3</x:v>
      </x:c>
      <x:c r="J31" s="65" t="str">
        <x:v>0.02 (low)</x:v>
      </x:c>
      <x:c r="K31" s="65" t="str">
        <x:v>0.02 (low)</x:v>
      </x:c>
      <x:c r="L31" s="65" t="str">
        <x:v>n/a (not returned by endpoint)</x:v>
      </x:c>
      <x:c r="M31" s="65" t="str">
        <x:v>n/a (not returned by endpoint)</x:v>
      </x:c>
    </x:row>
    <x:row r="32">
      <x:c r="A32" s="65" t="str">
        <x:v>development staging</x:v>
      </x:c>
      <x:c r="B32" s="65" t="str">
        <x:v>staging vs production</x:v>
      </x:c>
      <x:c r="C32" s="65" t="str">
        <x:v>related</x:v>
      </x:c>
      <x:c r="D32" s="65" t="str">
        <x:v>260/mo</x:v>
      </x:c>
      <x:c r="E32" s="65" t="str">
        <x:v>0/mo</x:v>
      </x:c>
      <x:c r="F32" s="65" t="str">
        <x:v>n/a (not returned by endpoint)</x:v>
      </x:c>
      <x:c r="G32" s="65" t="str">
        <x:v>0/100</x:v>
      </x:c>
      <x:c r="H32" s="65" t="str">
        <x:v>$2.33</x:v>
      </x:c>
      <x:c r="I32" s="65" t="str">
        <x:v>$1.52</x:v>
      </x:c>
      <x:c r="J32" s="65" t="str">
        <x:v>0.02 (low)</x:v>
      </x:c>
      <x:c r="K32" s="65" t="str">
        <x:v>0.01 (low)</x:v>
      </x:c>
      <x:c r="L32" s="65" t="str">
        <x:v>n/a (not returned by endpoint)</x:v>
      </x:c>
      <x:c r="M32" s="65" t="str">
        <x:v>n/a (not returned by endpoint)</x:v>
      </x:c>
    </x:row>
    <x:row r="33">
      <x:c r="A33" s="65" t="str">
        <x:v>do i need two yoast liscences for production vs staging</x:v>
      </x:c>
      <x:c r="B33" s="65" t="str">
        <x:v>staging vs production</x:v>
      </x:c>
      <x:c r="C33" s="65" t="str">
        <x:v>question</x:v>
      </x:c>
      <x:c r="D33" s="65" t="str">
        <x:v>0/mo</x:v>
      </x:c>
      <x:c r="E33" s="65" t="str">
        <x:v>n/a (no row returned)</x:v>
      </x:c>
      <x:c r="F33" s="65" t="str">
        <x:v>n/a (not returned by endpoint)</x:v>
      </x:c>
      <x:c r="G33" s="65" t="str">
        <x:v>n/a (no row returned)</x:v>
      </x:c>
      <x:c r="H33" s="65" t="str">
        <x:v>$0</x:v>
      </x:c>
      <x:c r="I33" s="65" t="str">
        <x:v>n/a (no row returned)</x:v>
      </x:c>
      <x:c r="J33" s="65" t="str">
        <x:v>0 (low)</x:v>
      </x:c>
      <x:c r="K33" s="65" t="str">
        <x:v>n/a (no row returned)</x:v>
      </x:c>
      <x:c r="L33" s="65" t="str">
        <x:v>n/a (not returned by endpoint)</x:v>
      </x:c>
      <x:c r="M33" s="65" t="str">
        <x:v>n/a (not returned by endpoint)</x:v>
      </x:c>
    </x:row>
    <x:row r="34">
      <x:c r="A34" s="65" t="str">
        <x:v>how does a ci cd pipeline work</x:v>
      </x:c>
      <x:c r="B34" s="65" t="str">
        <x:v>how does ci cd pipeline work</x:v>
      </x:c>
      <x:c r="C34" s="65" t="str">
        <x:v>question</x:v>
      </x:c>
      <x:c r="D34" s="65" t="str">
        <x:v>30/mo</x:v>
      </x:c>
      <x:c r="E34" s="65" t="str">
        <x:v>20/mo</x:v>
      </x:c>
      <x:c r="F34" s="65" t="str">
        <x:v>n/a (not returned by endpoint)</x:v>
      </x:c>
      <x:c r="G34" s="65" t="str">
        <x:v>0/100</x:v>
      </x:c>
      <x:c r="H34" s="65" t="str">
        <x:v>$0</x:v>
      </x:c>
      <x:c r="I34" s="65" t="str">
        <x:v>$0</x:v>
      </x:c>
      <x:c r="J34" s="65" t="str">
        <x:v>0.1 (low)</x:v>
      </x:c>
      <x:c r="K34" s="65" t="str">
        <x:v>0.66 (high)</x:v>
      </x:c>
      <x:c r="L34" s="65" t="str">
        <x:v>n/a (not returned by endpoint)</x:v>
      </x:c>
      <x:c r="M34" s="65" t="str">
        <x:v>n/a (not returned by endpoint)</x:v>
      </x:c>
    </x:row>
    <x:row r="35">
      <x:c r="A35" s="65" t="str">
        <x:v>how does an api call work</x:v>
      </x:c>
      <x:c r="B35" s="65" t="str">
        <x:v>how does an api work</x:v>
      </x:c>
      <x:c r="C35" s="65" t="str">
        <x:v>question</x:v>
      </x:c>
      <x:c r="D35" s="65" t="str">
        <x:v>20/mo</x:v>
      </x:c>
      <x:c r="E35" s="65" t="str">
        <x:v>20/mo</x:v>
      </x:c>
      <x:c r="F35" s="65" t="str">
        <x:v>n/a (not returned by endpoint)</x:v>
      </x:c>
      <x:c r="G35" s="65" t="str">
        <x:v>0/100</x:v>
      </x:c>
      <x:c r="H35" s="65" t="str">
        <x:v>$1.47</x:v>
      </x:c>
      <x:c r="I35" s="65" t="str">
        <x:v>$0</x:v>
      </x:c>
      <x:c r="J35" s="65" t="str">
        <x:v>0.19 (low)</x:v>
      </x:c>
      <x:c r="K35" s="65" t="str">
        <x:v>0.33 (medium)</x:v>
      </x:c>
      <x:c r="L35" s="65" t="str">
        <x:v>n/a (not returned by endpoint)</x:v>
      </x:c>
      <x:c r="M35" s="65" t="str">
        <x:v>n/a (not returned by endpoint)</x:v>
      </x:c>
    </x:row>
    <x:row r="36">
      <x:c r="A36" s="65" t="str">
        <x:v>how does an api gateway work</x:v>
      </x:c>
      <x:c r="B36" s="65" t="str">
        <x:v>how does an api work</x:v>
      </x:c>
      <x:c r="C36" s="65" t="str">
        <x:v>question</x:v>
      </x:c>
      <x:c r="D36" s="65" t="str">
        <x:v>30/mo</x:v>
      </x:c>
      <x:c r="E36" s="65" t="str">
        <x:v>20/mo</x:v>
      </x:c>
      <x:c r="F36" s="65" t="str">
        <x:v>n/a (not returned by endpoint)</x:v>
      </x:c>
      <x:c r="G36" s="65" t="str">
        <x:v>0/100</x:v>
      </x:c>
      <x:c r="H36" s="65" t="str">
        <x:v>$2.23</x:v>
      </x:c>
      <x:c r="I36" s="65" t="str">
        <x:v>$0</x:v>
      </x:c>
      <x:c r="J36" s="65" t="str">
        <x:v>0.13 (low)</x:v>
      </x:c>
      <x:c r="K36" s="65" t="str">
        <x:v>0.04 (low)</x:v>
      </x:c>
      <x:c r="L36" s="65" t="str">
        <x:v>n/a (not returned by endpoint)</x:v>
      </x:c>
      <x:c r="M36" s="65" t="str">
        <x:v>n/a (not returned by endpoint)</x:v>
      </x:c>
    </x:row>
    <x:row r="37">
      <x:c r="A37" s="65" t="str">
        <x:v>how does an api integration with freshdesk work</x:v>
      </x:c>
      <x:c r="B37" s="65" t="str">
        <x:v>how does api integration work</x:v>
      </x:c>
      <x:c r="C37" s="65" t="str">
        <x:v>question</x:v>
      </x:c>
      <x:c r="D37" s="65" t="str">
        <x:v>0/mo</x:v>
      </x:c>
      <x:c r="E37" s="65" t="str">
        <x:v>n/a (no row returned)</x:v>
      </x:c>
      <x:c r="F37" s="65" t="str">
        <x:v>n/a (not returned by endpoint)</x:v>
      </x:c>
      <x:c r="G37" s="65" t="str">
        <x:v>n/a (no row returned)</x:v>
      </x:c>
      <x:c r="H37" s="65" t="str">
        <x:v>$0</x:v>
      </x:c>
      <x:c r="I37" s="65" t="str">
        <x:v>n/a (no row returned)</x:v>
      </x:c>
      <x:c r="J37" s="65" t="str">
        <x:v>0 (low)</x:v>
      </x:c>
      <x:c r="K37" s="65" t="str">
        <x:v>n/a (no row returned)</x:v>
      </x:c>
      <x:c r="L37" s="65" t="str">
        <x:v>n/a (not returned by endpoint)</x:v>
      </x:c>
      <x:c r="M37" s="65" t="str">
        <x:v>n/a (not returned by endpoint)</x:v>
      </x:c>
    </x:row>
    <x:row r="38">
      <x:c r="A38" s="65" t="str">
        <x:v>how does an api integration work</x:v>
      </x:c>
      <x:c r="B38" s="65" t="str">
        <x:v>how does an api work; how does api integration work</x:v>
      </x:c>
      <x:c r="C38" s="65" t="str">
        <x:v>question</x:v>
      </x:c>
      <x:c r="D38" s="65" t="str">
        <x:v>20/mo</x:v>
      </x:c>
      <x:c r="E38" s="65" t="str">
        <x:v>10/mo</x:v>
      </x:c>
      <x:c r="F38" s="65" t="str">
        <x:v>n/a (not returned by endpoint)</x:v>
      </x:c>
      <x:c r="G38" s="65" t="str">
        <x:v>0/100</x:v>
      </x:c>
      <x:c r="H38" s="65" t="str">
        <x:v>$0</x:v>
      </x:c>
      <x:c r="I38" s="65" t="str">
        <x:v>$0</x:v>
      </x:c>
      <x:c r="J38" s="65" t="str">
        <x:v>0.47 (medium)</x:v>
      </x:c>
      <x:c r="K38" s="65" t="str">
        <x:v>0.14 (low)</x:v>
      </x:c>
      <x:c r="L38" s="65" t="str">
        <x:v>n/a (not returned by endpoint)</x:v>
      </x:c>
      <x:c r="M38" s="65" t="str">
        <x:v>n/a (not returned by endpoint)</x:v>
      </x:c>
    </x:row>
    <x:row r="39">
      <x:c r="A39" s="65" t="str">
        <x:v>how does an api key work</x:v>
      </x:c>
      <x:c r="B39" s="65" t="str">
        <x:v>how does an api work</x:v>
      </x:c>
      <x:c r="C39" s="65" t="str">
        <x:v>question</x:v>
      </x:c>
      <x:c r="D39" s="65" t="str">
        <x:v>20/mo</x:v>
      </x:c>
      <x:c r="E39" s="65" t="str">
        <x:v>20/mo</x:v>
      </x:c>
      <x:c r="F39" s="65" t="str">
        <x:v>n/a (not returned by endpoint)</x:v>
      </x:c>
      <x:c r="G39" s="65" t="str">
        <x:v>0/100</x:v>
      </x:c>
      <x:c r="H39" s="65" t="str">
        <x:v>$1.52</x:v>
      </x:c>
      <x:c r="I39" s="65" t="str">
        <x:v>$0</x:v>
      </x:c>
      <x:c r="J39" s="65" t="str">
        <x:v>0.21 (low)</x:v>
      </x:c>
      <x:c r="K39" s="65" t="str">
        <x:v>0.29 (low)</x:v>
      </x:c>
      <x:c r="L39" s="65" t="str">
        <x:v>n/a (not returned by endpoint)</x:v>
      </x:c>
      <x:c r="M39" s="65" t="str">
        <x:v>n/a (not returned by endpoint)</x:v>
      </x:c>
    </x:row>
    <x:row r="40">
      <x:c r="A40" s="65" t="str">
        <x:v>how does an apy account work</x:v>
      </x:c>
      <x:c r="B40" s="65" t="str">
        <x:v>how does an api work</x:v>
      </x:c>
      <x:c r="C40" s="65" t="str">
        <x:v>question</x:v>
      </x:c>
      <x:c r="D40" s="65" t="str">
        <x:v>20/mo</x:v>
      </x:c>
      <x:c r="E40" s="65" t="str">
        <x:v>n/a (no row returned)</x:v>
      </x:c>
      <x:c r="F40" s="65" t="str">
        <x:v>n/a (not returned by endpoint)</x:v>
      </x:c>
      <x:c r="G40" s="65" t="str">
        <x:v>n/a (no row returned)</x:v>
      </x:c>
      <x:c r="H40" s="65" t="str">
        <x:v>$0.88</x:v>
      </x:c>
      <x:c r="I40" s="65" t="str">
        <x:v>n/a (no row returned)</x:v>
      </x:c>
      <x:c r="J40" s="65" t="str">
        <x:v>0.43 (medium)</x:v>
      </x:c>
      <x:c r="K40" s="65" t="str">
        <x:v>n/a (no row returned)</x:v>
      </x:c>
      <x:c r="L40" s="65" t="str">
        <x:v>n/a (not returned by endpoint)</x:v>
      </x:c>
      <x:c r="M40" s="65" t="str">
        <x:v>n/a (not returned by endpoint)</x:v>
      </x:c>
    </x:row>
    <x:row r="41">
      <x:c r="A41" s="65" t="str">
        <x:v>how does an apy work</x:v>
      </x:c>
      <x:c r="B41" s="65" t="str">
        <x:v>how does an api work</x:v>
      </x:c>
      <x:c r="C41" s="65" t="str">
        <x:v>question</x:v>
      </x:c>
      <x:c r="D41" s="65" t="str">
        <x:v>70/mo</x:v>
      </x:c>
      <x:c r="E41" s="65" t="str">
        <x:v>20/mo</x:v>
      </x:c>
      <x:c r="F41" s="65" t="str">
        <x:v>n/a (not returned by endpoint)</x:v>
      </x:c>
      <x:c r="G41" s="65" t="str">
        <x:v>0/100</x:v>
      </x:c>
      <x:c r="H41" s="65" t="str">
        <x:v>$3.13</x:v>
      </x:c>
      <x:c r="I41" s="65" t="str">
        <x:v>$0</x:v>
      </x:c>
      <x:c r="J41" s="65" t="str">
        <x:v>0.21 (low)</x:v>
      </x:c>
      <x:c r="K41" s="65" t="str">
        <x:v>0.02 (low)</x:v>
      </x:c>
      <x:c r="L41" s="65" t="str">
        <x:v>n/a (not returned by endpoint)</x:v>
      </x:c>
      <x:c r="M41" s="65" t="str">
        <x:v>n/a (not returned by endpoint)</x:v>
      </x:c>
    </x:row>
    <x:row r="42">
      <x:c r="A42" s="65" t="str">
        <x:v>how does api based edi work for supply chain integration</x:v>
      </x:c>
      <x:c r="B42" s="65" t="str">
        <x:v>how does api integration work</x:v>
      </x:c>
      <x:c r="C42" s="65" t="str">
        <x:v>question</x:v>
      </x:c>
      <x:c r="D42" s="65" t="str">
        <x:v>0/mo</x:v>
      </x:c>
      <x:c r="E42" s="65" t="str">
        <x:v>n/a (no row returned)</x:v>
      </x:c>
      <x:c r="F42" s="65" t="str">
        <x:v>n/a (not returned by endpoint)</x:v>
      </x:c>
      <x:c r="G42" s="65" t="str">
        <x:v>n/a (no row returned)</x:v>
      </x:c>
      <x:c r="H42" s="65" t="str">
        <x:v>$0</x:v>
      </x:c>
      <x:c r="I42" s="65" t="str">
        <x:v>n/a (no row returned)</x:v>
      </x:c>
      <x:c r="J42" s="65" t="str">
        <x:v>0 (low)</x:v>
      </x:c>
      <x:c r="K42" s="65" t="str">
        <x:v>n/a (no row returned)</x:v>
      </x:c>
      <x:c r="L42" s="65" t="str">
        <x:v>n/a (not returned by endpoint)</x:v>
      </x:c>
      <x:c r="M42" s="65" t="str">
        <x:v>n/a (not returned by endpoint)</x:v>
      </x:c>
    </x:row>
    <x:row r="43">
      <x:c r="A43" s="65" t="str">
        <x:v>how does api-based edi work for supply chain integration</x:v>
      </x:c>
      <x:c r="B43" s="65" t="str">
        <x:v>how does api integration work</x:v>
      </x:c>
      <x:c r="C43" s="65" t="str">
        <x:v>question</x:v>
      </x:c>
      <x:c r="D43" s="65" t="str">
        <x:v>10/mo</x:v>
      </x:c>
      <x:c r="E43" s="65" t="str">
        <x:v>n/a (no row returned)</x:v>
      </x:c>
      <x:c r="F43" s="65" t="str">
        <x:v>n/a (not returned by endpoint)</x:v>
      </x:c>
      <x:c r="G43" s="65" t="str">
        <x:v>n/a (no row returned)</x:v>
      </x:c>
      <x:c r="H43" s="65" t="str">
        <x:v>$0</x:v>
      </x:c>
      <x:c r="I43" s="65" t="str">
        <x:v>n/a (no row returned)</x:v>
      </x:c>
      <x:c r="J43" s="65" t="str">
        <x:v>0 (low)</x:v>
      </x:c>
      <x:c r="K43" s="65" t="str">
        <x:v>n/a (no row returned)</x:v>
      </x:c>
      <x:c r="L43" s="65" t="str">
        <x:v>n/a (not returned by endpoint)</x:v>
      </x:c>
      <x:c r="M43" s="65" t="str">
        <x:v>n/a (not returned by endpoint)</x:v>
      </x:c>
    </x:row>
    <x:row r="44">
      <x:c r="A44" s="65" t="str">
        <x:v>how does banking api integration work</x:v>
      </x:c>
      <x:c r="B44" s="65" t="str">
        <x:v>how does api integration work</x:v>
      </x:c>
      <x:c r="C44" s="65" t="str">
        <x:v>question</x:v>
      </x:c>
      <x:c r="D44" s="65" t="str">
        <x:v>10/mo</x:v>
      </x:c>
      <x:c r="E44" s="65" t="str">
        <x:v>0/mo</x:v>
      </x:c>
      <x:c r="F44" s="65" t="str">
        <x:v>n/a (not returned by endpoint)</x:v>
      </x:c>
      <x:c r="G44" s="65" t="str">
        <x:v>0/100</x:v>
      </x:c>
      <x:c r="H44" s="65" t="str">
        <x:v>$0</x:v>
      </x:c>
      <x:c r="I44" s="65" t="str">
        <x:v>$0</x:v>
      </x:c>
      <x:c r="J44" s="65" t="str">
        <x:v>0 (low)</x:v>
      </x:c>
      <x:c r="K44" s="65" t="str">
        <x:v>0 (low)</x:v>
      </x:c>
      <x:c r="L44" s="65" t="str">
        <x:v>n/a (not returned by endpoint)</x:v>
      </x:c>
      <x:c r="M44" s="65" t="str">
        <x:v>n/a (not returned by endpoint)</x:v>
      </x:c>
    </x:row>
    <x:row r="45">
      <x:c r="A45" s="65" t="str">
        <x:v>how does ci/cd pipeline work</x:v>
      </x:c>
      <x:c r="B45" s="65" t="str">
        <x:v>how does ci cd pipeline work</x:v>
      </x:c>
      <x:c r="C45" s="65" t="str">
        <x:v>question</x:v>
      </x:c>
      <x:c r="D45" s="65" t="str">
        <x:v>10/mo</x:v>
      </x:c>
      <x:c r="E45" s="65" t="str">
        <x:v>0/mo</x:v>
      </x:c>
      <x:c r="F45" s="65" t="str">
        <x:v>n/a (not returned by endpoint)</x:v>
      </x:c>
      <x:c r="G45" s="65" t="str">
        <x:v>0/100</x:v>
      </x:c>
      <x:c r="H45" s="65" t="str">
        <x:v>$1.12</x:v>
      </x:c>
      <x:c r="I45" s="65" t="str">
        <x:v>$0</x:v>
      </x:c>
      <x:c r="J45" s="65" t="str">
        <x:v>0.32 (low)</x:v>
      </x:c>
      <x:c r="K45" s="65" t="str">
        <x:v>0 (low)</x:v>
      </x:c>
      <x:c r="L45" s="65" t="str">
        <x:v>n/a (not returned by endpoint)</x:v>
      </x:c>
      <x:c r="M45" s="65" t="str">
        <x:v>n/a (not returned by endpoint)</x:v>
      </x:c>
    </x:row>
    <x:row r="46">
      <x:c r="A46" s="65" t="str">
        <x:v>how does frontend backend and database work together</x:v>
      </x:c>
      <x:c r="B46" s="65" t="str">
        <x:v>frontend backend database</x:v>
      </x:c>
      <x:c r="C46" s="65" t="str">
        <x:v>question</x:v>
      </x:c>
      <x:c r="D46" s="65" t="str">
        <x:v>10/mo</x:v>
      </x:c>
      <x:c r="E46" s="65" t="str">
        <x:v>n/a (no row returned)</x:v>
      </x:c>
      <x:c r="F46" s="65" t="str">
        <x:v>n/a (not returned by endpoint)</x:v>
      </x:c>
      <x:c r="G46" s="65" t="str">
        <x:v>n/a (no row returned)</x:v>
      </x:c>
      <x:c r="H46" s="65" t="str">
        <x:v>$0</x:v>
      </x:c>
      <x:c r="I46" s="65" t="str">
        <x:v>n/a (no row returned)</x:v>
      </x:c>
      <x:c r="J46" s="65" t="str">
        <x:v>0 (low)</x:v>
      </x:c>
      <x:c r="K46" s="65" t="str">
        <x:v>n/a (no row returned)</x:v>
      </x:c>
      <x:c r="L46" s="65" t="str">
        <x:v>n/a (not returned by endpoint)</x:v>
      </x:c>
      <x:c r="M46" s="65" t="str">
        <x:v>n/a (not returned by endpoint)</x:v>
      </x:c>
    </x:row>
    <x:row r="47">
      <x:c r="A47" s="65" t="str">
        <x:v>how does open banking api integration work</x:v>
      </x:c>
      <x:c r="B47" s="65" t="str">
        <x:v>how does api integration work</x:v>
      </x:c>
      <x:c r="C47" s="65" t="str">
        <x:v>question</x:v>
      </x:c>
      <x:c r="D47" s="65" t="str">
        <x:v>10/mo</x:v>
      </x:c>
      <x:c r="E47" s="65" t="str">
        <x:v>n/a (no row returned)</x:v>
      </x:c>
      <x:c r="F47" s="65" t="str">
        <x:v>n/a (not returned by endpoint)</x:v>
      </x:c>
      <x:c r="G47" s="65" t="str">
        <x:v>n/a (no row returned)</x:v>
      </x:c>
      <x:c r="H47" s="65" t="str">
        <x:v>$0</x:v>
      </x:c>
      <x:c r="I47" s="65" t="str">
        <x:v>n/a (no row returned)</x:v>
      </x:c>
      <x:c r="J47" s="65" t="str">
        <x:v>0 (low)</x:v>
      </x:c>
      <x:c r="K47" s="65" t="str">
        <x:v>n/a (no row returned)</x:v>
      </x:c>
      <x:c r="L47" s="65" t="str">
        <x:v>n/a (not returned by endpoint)</x:v>
      </x:c>
      <x:c r="M47" s="65" t="str">
        <x:v>n/a (not returned by endpoint)</x:v>
      </x:c>
    </x:row>
    <x:row r="48">
      <x:c r="A48" s="65" t="str">
        <x:v>how long does it take a bed bug to reproduce</x:v>
      </x:c>
      <x:c r="B48" s="65" t="str">
        <x:v>how to reproduce a bug</x:v>
      </x:c>
      <x:c r="C48" s="65" t="str">
        <x:v>question</x:v>
      </x:c>
      <x:c r="D48" s="65" t="str">
        <x:v>10/mo</x:v>
      </x:c>
      <x:c r="E48" s="65" t="str">
        <x:v>n/a (no row returned)</x:v>
      </x:c>
      <x:c r="F48" s="65" t="str">
        <x:v>n/a (not returned by endpoint)</x:v>
      </x:c>
      <x:c r="G48" s="65" t="str">
        <x:v>n/a (no row returned)</x:v>
      </x:c>
      <x:c r="H48" s="65" t="str">
        <x:v>$0.87</x:v>
      </x:c>
      <x:c r="I48" s="65" t="str">
        <x:v>n/a (no row returned)</x:v>
      </x:c>
      <x:c r="J48" s="65" t="str">
        <x:v>0.06 (low)</x:v>
      </x:c>
      <x:c r="K48" s="65" t="str">
        <x:v>n/a (no row returned)</x:v>
      </x:c>
      <x:c r="L48" s="65" t="str">
        <x:v>n/a (not returned by endpoint)</x:v>
      </x:c>
      <x:c r="M48" s="65" t="str">
        <x:v>n/a (not returned by endpoint)</x:v>
      </x:c>
    </x:row>
    <x:row r="49">
      <x:c r="A49" s="65" t="str">
        <x:v>how qa teams organize bug backlog prioritization triage retesting process</x:v>
      </x:c>
      <x:c r="B49" s="65" t="str">
        <x:v>bug triage process</x:v>
      </x:c>
      <x:c r="C49" s="65" t="str">
        <x:v>question</x:v>
      </x:c>
      <x:c r="D49" s="65" t="str">
        <x:v>10/mo</x:v>
      </x:c>
      <x:c r="E49" s="65" t="str">
        <x:v>n/a (no row returned)</x:v>
      </x:c>
      <x:c r="F49" s="65" t="str">
        <x:v>n/a (not returned by endpoint)</x:v>
      </x:c>
      <x:c r="G49" s="65" t="str">
        <x:v>n/a (no row returned)</x:v>
      </x:c>
      <x:c r="H49" s="65" t="str">
        <x:v>$0</x:v>
      </x:c>
      <x:c r="I49" s="65" t="str">
        <x:v>n/a (no row returned)</x:v>
      </x:c>
      <x:c r="J49" s="65" t="str">
        <x:v>0 (low)</x:v>
      </x:c>
      <x:c r="K49" s="65" t="str">
        <x:v>n/a (no row returned)</x:v>
      </x:c>
      <x:c r="L49" s="65" t="str">
        <x:v>n/a (not returned by endpoint)</x:v>
      </x:c>
      <x:c r="M49" s="65" t="str">
        <x:v>n/a (not returned by endpoint)</x:v>
      </x:c>
    </x:row>
    <x:row r="50">
      <x:c r="A50" s="65" t="str">
        <x:v>how to build a scalable ai mvp with minimal budget</x:v>
      </x:c>
      <x:c r="B50" s="65" t="str">
        <x:v>build mvp with ai</x:v>
      </x:c>
      <x:c r="C50" s="65" t="str">
        <x:v>question</x:v>
      </x:c>
      <x:c r="D50" s="65" t="str">
        <x:v>0/mo</x:v>
      </x:c>
      <x:c r="E50" s="65" t="str">
        <x:v>n/a (no row returned)</x:v>
      </x:c>
      <x:c r="F50" s="65" t="str">
        <x:v>n/a (not returned by endpoint)</x:v>
      </x:c>
      <x:c r="G50" s="65" t="str">
        <x:v>n/a (no row returned)</x:v>
      </x:c>
      <x:c r="H50" s="65" t="str">
        <x:v>$0</x:v>
      </x:c>
      <x:c r="I50" s="65" t="str">
        <x:v>n/a (no row returned)</x:v>
      </x:c>
      <x:c r="J50" s="65" t="str">
        <x:v>0 (low)</x:v>
      </x:c>
      <x:c r="K50" s="65" t="str">
        <x:v>n/a (no row returned)</x:v>
      </x:c>
      <x:c r="L50" s="65" t="str">
        <x:v>n/a (not returned by endpoint)</x:v>
      </x:c>
      <x:c r="M50" s="65" t="str">
        <x:v>n/a (not returned by endpoint)</x:v>
      </x:c>
    </x:row>
    <x:row r="51">
      <x:c r="A51" s="65" t="str">
        <x:v>how to build an mvp app with ai</x:v>
      </x:c>
      <x:c r="B51" s="65" t="str">
        <x:v>build mvp with ai</x:v>
      </x:c>
      <x:c r="C51" s="65" t="str">
        <x:v>question</x:v>
      </x:c>
      <x:c r="D51" s="65" t="str">
        <x:v>0/mo</x:v>
      </x:c>
      <x:c r="E51" s="65" t="str">
        <x:v>n/a (no row returned)</x:v>
      </x:c>
      <x:c r="F51" s="65" t="str">
        <x:v>n/a (not returned by endpoint)</x:v>
      </x:c>
      <x:c r="G51" s="65" t="str">
        <x:v>n/a (no row returned)</x:v>
      </x:c>
      <x:c r="H51" s="65" t="str">
        <x:v>$0</x:v>
      </x:c>
      <x:c r="I51" s="65" t="str">
        <x:v>n/a (no row returned)</x:v>
      </x:c>
      <x:c r="J51" s="65" t="str">
        <x:v>0 (low)</x:v>
      </x:c>
      <x:c r="K51" s="65" t="str">
        <x:v>n/a (no row returned)</x:v>
      </x:c>
      <x:c r="L51" s="65" t="str">
        <x:v>n/a (not returned by endpoint)</x:v>
      </x:c>
      <x:c r="M51" s="65" t="str">
        <x:v>n/a (not returned by endpoint)</x:v>
      </x:c>
    </x:row>
    <x:row r="52">
      <x:c r="A52" s="65" t="str">
        <x:v>how to build mvp with ai</x:v>
      </x:c>
      <x:c r="B52" s="65" t="str">
        <x:v>build mvp with ai</x:v>
      </x:c>
      <x:c r="C52" s="65" t="str">
        <x:v>question</x:v>
      </x:c>
      <x:c r="D52" s="65" t="str">
        <x:v>10/mo</x:v>
      </x:c>
      <x:c r="E52" s="65" t="str">
        <x:v>10/mo</x:v>
      </x:c>
      <x:c r="F52" s="65" t="str">
        <x:v>n/a (not returned by endpoint)</x:v>
      </x:c>
      <x:c r="G52" s="65" t="str">
        <x:v>0/100</x:v>
      </x:c>
      <x:c r="H52" s="65" t="str">
        <x:v>$0</x:v>
      </x:c>
      <x:c r="I52" s="65" t="str">
        <x:v>$0</x:v>
      </x:c>
      <x:c r="J52" s="65" t="str">
        <x:v>0.33 (medium)</x:v>
      </x:c>
      <x:c r="K52" s="65" t="str">
        <x:v>0.99 (high)</x:v>
      </x:c>
      <x:c r="L52" s="65" t="str">
        <x:v>n/a (not returned by endpoint)</x:v>
      </x:c>
      <x:c r="M52" s="65" t="str">
        <x:v>n/a (not returned by endpoint)</x:v>
      </x:c>
    </x:row>
    <x:row r="53">
      <x:c r="A53" s="65" t="str">
        <x:v>how to create rapidpro staging vs rapid pro production</x:v>
      </x:c>
      <x:c r="B53" s="65" t="str">
        <x:v>staging vs production</x:v>
      </x:c>
      <x:c r="C53" s="65" t="str">
        <x:v>question</x:v>
      </x:c>
      <x:c r="D53" s="65" t="str">
        <x:v>0/mo</x:v>
      </x:c>
      <x:c r="E53" s="65" t="str">
        <x:v>n/a (no row returned)</x:v>
      </x:c>
      <x:c r="F53" s="65" t="str">
        <x:v>n/a (not returned by endpoint)</x:v>
      </x:c>
      <x:c r="G53" s="65" t="str">
        <x:v>n/a (no row returned)</x:v>
      </x:c>
      <x:c r="H53" s="65" t="str">
        <x:v>$0</x:v>
      </x:c>
      <x:c r="I53" s="65" t="str">
        <x:v>n/a (no row returned)</x:v>
      </x:c>
      <x:c r="J53" s="65" t="str">
        <x:v>0 (low)</x:v>
      </x:c>
      <x:c r="K53" s="65" t="str">
        <x:v>n/a (no row returned)</x:v>
      </x:c>
      <x:c r="L53" s="65" t="str">
        <x:v>n/a (not returned by endpoint)</x:v>
      </x:c>
      <x:c r="M53" s="65" t="str">
        <x:v>n/a (not returned by endpoint)</x:v>
      </x:c>
    </x:row>
    <x:row r="54">
      <x:c r="A54" s="65" t="str">
        <x:v>how to explain a reproducible bug to a developer</x:v>
      </x:c>
      <x:c r="B54" s="65" t="str">
        <x:v>how to reproduce a bug</x:v>
      </x:c>
      <x:c r="C54" s="65" t="str">
        <x:v>question</x:v>
      </x:c>
      <x:c r="D54" s="65" t="str">
        <x:v>0/mo</x:v>
      </x:c>
      <x:c r="E54" s="65" t="str">
        <x:v>n/a (no row returned)</x:v>
      </x:c>
      <x:c r="F54" s="65" t="str">
        <x:v>n/a (not returned by endpoint)</x:v>
      </x:c>
      <x:c r="G54" s="65" t="str">
        <x:v>n/a (no row returned)</x:v>
      </x:c>
      <x:c r="H54" s="65" t="str">
        <x:v>$0</x:v>
      </x:c>
      <x:c r="I54" s="65" t="str">
        <x:v>n/a (no row returned)</x:v>
      </x:c>
      <x:c r="J54" s="65" t="str">
        <x:v>0 (low)</x:v>
      </x:c>
      <x:c r="K54" s="65" t="str">
        <x:v>n/a (no row returned)</x:v>
      </x:c>
      <x:c r="L54" s="65" t="str">
        <x:v>n/a (not returned by endpoint)</x:v>
      </x:c>
      <x:c r="M54" s="65" t="str">
        <x:v>n/a (not returned by endpoint)</x:v>
      </x:c>
    </x:row>
    <x:row r="55">
      <x:c r="A55" s="65" t="str">
        <x:v>how to explain application architecture</x:v>
      </x:c>
      <x:c r="B55" s="65" t="str">
        <x:v>application architecture explained</x:v>
      </x:c>
      <x:c r="C55" s="65" t="str">
        <x:v>question</x:v>
      </x:c>
      <x:c r="D55" s="65" t="str">
        <x:v>0/mo</x:v>
      </x:c>
      <x:c r="E55" s="65" t="str">
        <x:v>0/mo</x:v>
      </x:c>
      <x:c r="F55" s="65" t="str">
        <x:v>n/a (not returned by endpoint)</x:v>
      </x:c>
      <x:c r="G55" s="65" t="str">
        <x:v>0/100</x:v>
      </x:c>
      <x:c r="H55" s="65" t="str">
        <x:v>$0</x:v>
      </x:c>
      <x:c r="I55" s="65" t="str">
        <x:v>$0</x:v>
      </x:c>
      <x:c r="J55" s="65" t="str">
        <x:v>0 (low)</x:v>
      </x:c>
      <x:c r="K55" s="65" t="str">
        <x:v>0 (low)</x:v>
      </x:c>
      <x:c r="L55" s="65" t="str">
        <x:v>n/a (not returned by endpoint)</x:v>
      </x:c>
      <x:c r="M55" s="65" t="str">
        <x:v>n/a (not returned by endpoint)</x:v>
      </x:c>
    </x:row>
    <x:row r="56">
      <x:c r="A56" s="65" t="str">
        <x:v>how to explain technical debt</x:v>
      </x:c>
      <x:c r="B56" s="65" t="str">
        <x:v>technical debt explained</x:v>
      </x:c>
      <x:c r="C56" s="65" t="str">
        <x:v>question</x:v>
      </x:c>
      <x:c r="D56" s="65" t="str">
        <x:v>0/mo</x:v>
      </x:c>
      <x:c r="E56" s="65" t="str">
        <x:v>0/mo</x:v>
      </x:c>
      <x:c r="F56" s="65" t="str">
        <x:v>n/a (not returned by endpoint)</x:v>
      </x:c>
      <x:c r="G56" s="65" t="str">
        <x:v>0/100</x:v>
      </x:c>
      <x:c r="H56" s="65" t="str">
        <x:v>$0</x:v>
      </x:c>
      <x:c r="I56" s="65" t="str">
        <x:v>$0</x:v>
      </x:c>
      <x:c r="J56" s="65" t="str">
        <x:v>0 (low)</x:v>
      </x:c>
      <x:c r="K56" s="65" t="str">
        <x:v>0 (low)</x:v>
      </x:c>
      <x:c r="L56" s="65" t="str">
        <x:v>n/a (not returned by endpoint)</x:v>
      </x:c>
      <x:c r="M56" s="65" t="str">
        <x:v>n/a (not returned by endpoint)</x:v>
      </x:c>
    </x:row>
    <x:row r="57">
      <x:c r="A57" s="65" t="str">
        <x:v>how to explain the architecture of an application</x:v>
      </x:c>
      <x:c r="B57" s="65" t="str">
        <x:v>application architecture explained</x:v>
      </x:c>
      <x:c r="C57" s="65" t="str">
        <x:v>question</x:v>
      </x:c>
      <x:c r="D57" s="65" t="str">
        <x:v>0/mo</x:v>
      </x:c>
      <x:c r="E57" s="65" t="str">
        <x:v>n/a (no row returned)</x:v>
      </x:c>
      <x:c r="F57" s="65" t="str">
        <x:v>n/a (not returned by endpoint)</x:v>
      </x:c>
      <x:c r="G57" s="65" t="str">
        <x:v>n/a (no row returned)</x:v>
      </x:c>
      <x:c r="H57" s="65" t="str">
        <x:v>$0</x:v>
      </x:c>
      <x:c r="I57" s="65" t="str">
        <x:v>n/a (no row returned)</x:v>
      </x:c>
      <x:c r="J57" s="65" t="str">
        <x:v>0 (low)</x:v>
      </x:c>
      <x:c r="K57" s="65" t="str">
        <x:v>n/a (no row returned)</x:v>
      </x:c>
      <x:c r="L57" s="65" t="str">
        <x:v>n/a (not returned by endpoint)</x:v>
      </x:c>
      <x:c r="M57" s="65" t="str">
        <x:v>n/a (not returned by endpoint)</x:v>
      </x:c>
    </x:row>
    <x:row r="58">
      <x:c r="A58" s="65" t="str">
        <x:v>how to learn vibe coding for beginners</x:v>
      </x:c>
      <x:c r="B58" s="65" t="str">
        <x:v>vibe coding for beginners</x:v>
      </x:c>
      <x:c r="C58" s="65" t="str">
        <x:v>question</x:v>
      </x:c>
      <x:c r="D58" s="65" t="str">
        <x:v>10/mo</x:v>
      </x:c>
      <x:c r="E58" s="65" t="str">
        <x:v>n/a (no row returned)</x:v>
      </x:c>
      <x:c r="F58" s="65" t="str">
        <x:v>n/a (not returned by endpoint)</x:v>
      </x:c>
      <x:c r="G58" s="65" t="str">
        <x:v>n/a (no row returned)</x:v>
      </x:c>
      <x:c r="H58" s="65" t="str">
        <x:v>$3.5</x:v>
      </x:c>
      <x:c r="I58" s="65" t="str">
        <x:v>n/a (no row returned)</x:v>
      </x:c>
      <x:c r="J58" s="65" t="str">
        <x:v>0.62 (medium)</x:v>
      </x:c>
      <x:c r="K58" s="65" t="str">
        <x:v>n/a (no row returned)</x:v>
      </x:c>
      <x:c r="L58" s="65" t="str">
        <x:v>n/a (not returned by endpoint)</x:v>
      </x:c>
      <x:c r="M58" s="65" t="str">
        <x:v>n/a (not returned by endpoint)</x:v>
      </x:c>
    </x:row>
    <x:row r="59">
      <x:c r="A59" s="65" t="str">
        <x:v>how to reproduce a bug in testing</x:v>
      </x:c>
      <x:c r="B59" s="65" t="str">
        <x:v>how to reproduce a bug</x:v>
      </x:c>
      <x:c r="C59" s="65" t="str">
        <x:v>question</x:v>
      </x:c>
      <x:c r="D59" s="65" t="str">
        <x:v>0/mo</x:v>
      </x:c>
      <x:c r="E59" s="65" t="str">
        <x:v>n/a (no row returned)</x:v>
      </x:c>
      <x:c r="F59" s="65" t="str">
        <x:v>n/a (not returned by endpoint)</x:v>
      </x:c>
      <x:c r="G59" s="65" t="str">
        <x:v>n/a (no row returned)</x:v>
      </x:c>
      <x:c r="H59" s="65" t="str">
        <x:v>$0</x:v>
      </x:c>
      <x:c r="I59" s="65" t="str">
        <x:v>n/a (no row returned)</x:v>
      </x:c>
      <x:c r="J59" s="65" t="str">
        <x:v>0 (low)</x:v>
      </x:c>
      <x:c r="K59" s="65" t="str">
        <x:v>n/a (no row returned)</x:v>
      </x:c>
      <x:c r="L59" s="65" t="str">
        <x:v>n/a (not returned by endpoint)</x:v>
      </x:c>
      <x:c r="M59" s="65" t="str">
        <x:v>n/a (not returned by endpoint)</x:v>
      </x:c>
    </x:row>
    <x:row r="60">
      <x:c r="A60" s="65" t="str">
        <x:v>how to set up a scalable bug triage process</x:v>
      </x:c>
      <x:c r="B60" s="65" t="str">
        <x:v>bug triage process</x:v>
      </x:c>
      <x:c r="C60" s="65" t="str">
        <x:v>question</x:v>
      </x:c>
      <x:c r="D60" s="65" t="str">
        <x:v>10/mo</x:v>
      </x:c>
      <x:c r="E60" s="65" t="str">
        <x:v>0/mo</x:v>
      </x:c>
      <x:c r="F60" s="65" t="str">
        <x:v>n/a (not returned by endpoint)</x:v>
      </x:c>
      <x:c r="G60" s="65" t="str">
        <x:v>0/100</x:v>
      </x:c>
      <x:c r="H60" s="65" t="str">
        <x:v>$0</x:v>
      </x:c>
      <x:c r="I60" s="65" t="str">
        <x:v>$0</x:v>
      </x:c>
      <x:c r="J60" s="65" t="str">
        <x:v>0 (low)</x:v>
      </x:c>
      <x:c r="K60" s="65" t="str">
        <x:v>0 (low)</x:v>
      </x:c>
      <x:c r="L60" s="65" t="str">
        <x:v>n/a (not returned by endpoint)</x:v>
      </x:c>
      <x:c r="M60" s="65" t="str">
        <x:v>n/a (not returned by endpoint)</x:v>
      </x:c>
    </x:row>
    <x:row r="61">
      <x:c r="A61" s="65" t="str">
        <x:v>how to split access database into frontend and backend</x:v>
      </x:c>
      <x:c r="B61" s="65" t="str">
        <x:v>frontend backend database</x:v>
      </x:c>
      <x:c r="C61" s="65" t="str">
        <x:v>question</x:v>
      </x:c>
      <x:c r="D61" s="65" t="str">
        <x:v>0/mo</x:v>
      </x:c>
      <x:c r="E61" s="65" t="str">
        <x:v>n/a (no row returned)</x:v>
      </x:c>
      <x:c r="F61" s="65" t="str">
        <x:v>n/a (not returned by endpoint)</x:v>
      </x:c>
      <x:c r="G61" s="65" t="str">
        <x:v>n/a (no row returned)</x:v>
      </x:c>
      <x:c r="H61" s="65" t="str">
        <x:v>$0</x:v>
      </x:c>
      <x:c r="I61" s="65" t="str">
        <x:v>n/a (no row returned)</x:v>
      </x:c>
      <x:c r="J61" s="65" t="str">
        <x:v>0 (low)</x:v>
      </x:c>
      <x:c r="K61" s="65" t="str">
        <x:v>n/a (no row returned)</x:v>
      </x:c>
      <x:c r="L61" s="65" t="str">
        <x:v>n/a (not returned by endpoint)</x:v>
      </x:c>
      <x:c r="M61" s="65" t="str">
        <x:v>n/a (not returned by endpoint)</x:v>
      </x:c>
    </x:row>
    <x:row r="62">
      <x:c r="A62" s="65" t="str">
        <x:v>how to use ai tools without coding for beginners</x:v>
      </x:c>
      <x:c r="B62" s="65" t="str">
        <x:v>ai coding tools for beginners</x:v>
      </x:c>
      <x:c r="C62" s="65" t="str">
        <x:v>question</x:v>
      </x:c>
      <x:c r="D62" s="65" t="str">
        <x:v>0/mo</x:v>
      </x:c>
      <x:c r="E62" s="65" t="str">
        <x:v>n/a (no row returned)</x:v>
      </x:c>
      <x:c r="F62" s="65" t="str">
        <x:v>n/a (not returned by endpoint)</x:v>
      </x:c>
      <x:c r="G62" s="65" t="str">
        <x:v>n/a (no row returned)</x:v>
      </x:c>
      <x:c r="H62" s="65" t="str">
        <x:v>$0</x:v>
      </x:c>
      <x:c r="I62" s="65" t="str">
        <x:v>n/a (no row returned)</x:v>
      </x:c>
      <x:c r="J62" s="65" t="str">
        <x:v>0 (low)</x:v>
      </x:c>
      <x:c r="K62" s="65" t="str">
        <x:v>n/a (no row returned)</x:v>
      </x:c>
      <x:c r="L62" s="65" t="str">
        <x:v>n/a (not returned by endpoint)</x:v>
      </x:c>
      <x:c r="M62" s="65" t="str">
        <x:v>n/a (not returned by endpoint)</x:v>
      </x:c>
    </x:row>
    <x:row r="63">
      <x:c r="A63" s="65" t="str">
        <x:v>how to use containers in staging vs production</x:v>
      </x:c>
      <x:c r="B63" s="65" t="str">
        <x:v>staging vs production</x:v>
      </x:c>
      <x:c r="C63" s="65" t="str">
        <x:v>question</x:v>
      </x:c>
      <x:c r="D63" s="65" t="str">
        <x:v>0/mo</x:v>
      </x:c>
      <x:c r="E63" s="65" t="str">
        <x:v>n/a (no row returned)</x:v>
      </x:c>
      <x:c r="F63" s="65" t="str">
        <x:v>n/a (not returned by endpoint)</x:v>
      </x:c>
      <x:c r="G63" s="65" t="str">
        <x:v>n/a (no row returned)</x:v>
      </x:c>
      <x:c r="H63" s="65" t="str">
        <x:v>$0</x:v>
      </x:c>
      <x:c r="I63" s="65" t="str">
        <x:v>n/a (no row returned)</x:v>
      </x:c>
      <x:c r="J63" s="65" t="str">
        <x:v>0 (low)</x:v>
      </x:c>
      <x:c r="K63" s="65" t="str">
        <x:v>n/a (no row returned)</x:v>
      </x:c>
      <x:c r="L63" s="65" t="str">
        <x:v>n/a (not returned by endpoint)</x:v>
      </x:c>
      <x:c r="M63" s="65" t="str">
        <x:v>n/a (not returned by endpoint)</x:v>
      </x:c>
    </x:row>
    <x:row r="64">
      <x:c r="A64" s="65" t="str">
        <x:v>how to vibe code</x:v>
      </x:c>
      <x:c r="B64" s="65" t="str">
        <x:v>vibe coding for beginners</x:v>
      </x:c>
      <x:c r="C64" s="65" t="str">
        <x:v>related</x:v>
      </x:c>
      <x:c r="D64" s="65" t="str">
        <x:v>1,600/mo</x:v>
      </x:c>
      <x:c r="E64" s="65" t="str">
        <x:v>170/mo</x:v>
      </x:c>
      <x:c r="F64" s="65" t="str">
        <x:v>n/a (not returned by endpoint)</x:v>
      </x:c>
      <x:c r="G64" s="65" t="str">
        <x:v>50/100</x:v>
      </x:c>
      <x:c r="H64" s="65" t="str">
        <x:v>$5.05</x:v>
      </x:c>
      <x:c r="I64" s="65" t="str">
        <x:v>$2.69</x:v>
      </x:c>
      <x:c r="J64" s="65" t="str">
        <x:v>0.57 (medium)</x:v>
      </x:c>
      <x:c r="K64" s="65" t="str">
        <x:v>0.67 (high)</x:v>
      </x:c>
      <x:c r="L64" s="65" t="str">
        <x:v>n/a (not returned by endpoint)</x:v>
      </x:c>
      <x:c r="M64" s="65" t="str">
        <x:v>n/a (not returned by endpoint)</x:v>
      </x:c>
    </x:row>
    <x:row r="65">
      <x:c r="A65" s="65" t="str">
        <x:v>integration of api</x:v>
      </x:c>
      <x:c r="B65" s="65" t="str">
        <x:v>how does api integration work</x:v>
      </x:c>
      <x:c r="C65" s="65" t="str">
        <x:v>related</x:v>
      </x:c>
      <x:c r="D65" s="65" t="str">
        <x:v>1,600/mo</x:v>
      </x:c>
      <x:c r="E65" s="65" t="str">
        <x:v>20/mo</x:v>
      </x:c>
      <x:c r="F65" s="65" t="str">
        <x:v>n/a (not returned by endpoint)</x:v>
      </x:c>
      <x:c r="G65" s="65" t="str">
        <x:v>0/100</x:v>
      </x:c>
      <x:c r="H65" s="65" t="str">
        <x:v>$10.26</x:v>
      </x:c>
      <x:c r="I65" s="65" t="str">
        <x:v>$7.69</x:v>
      </x:c>
      <x:c r="J65" s="65" t="str">
        <x:v>0.23 (low)</x:v>
      </x:c>
      <x:c r="K65" s="65" t="str">
        <x:v>0.23 (low)</x:v>
      </x:c>
      <x:c r="L65" s="65" t="str">
        <x:v>n/a (not returned by endpoint)</x:v>
      </x:c>
      <x:c r="M65" s="65" t="str">
        <x:v>n/a (not returned by endpoint)</x:v>
      </x:c>
    </x:row>
    <x:row r="66">
      <x:c r="A66" s="65" t="str">
        <x:v>integration software</x:v>
      </x:c>
      <x:c r="B66" s="65" t="str">
        <x:v>how does api integration work</x:v>
      </x:c>
      <x:c r="C66" s="65" t="str">
        <x:v>related</x:v>
      </x:c>
      <x:c r="D66" s="65" t="str">
        <x:v>1,300/mo</x:v>
      </x:c>
      <x:c r="E66" s="65" t="str">
        <x:v>140/mo</x:v>
      </x:c>
      <x:c r="F66" s="65" t="str">
        <x:v>n/a (not returned by endpoint)</x:v>
      </x:c>
      <x:c r="G66" s="65" t="str">
        <x:v>39/100</x:v>
      </x:c>
      <x:c r="H66" s="65" t="str">
        <x:v>$14.6</x:v>
      </x:c>
      <x:c r="I66" s="65" t="str">
        <x:v>$12.02</x:v>
      </x:c>
      <x:c r="J66" s="65" t="str">
        <x:v>0.07 (low)</x:v>
      </x:c>
      <x:c r="K66" s="65" t="str">
        <x:v>0.3 (low)</x:v>
      </x:c>
      <x:c r="L66" s="65" t="str">
        <x:v>n/a (not returned by endpoint)</x:v>
      </x:c>
      <x:c r="M66" s="65" t="str">
        <x:v>n/a (not returned by endpoint)</x:v>
      </x:c>
    </x:row>
    <x:row r="67">
      <x:c r="A67" s="65" t="str">
        <x:v>integrations</x:v>
      </x:c>
      <x:c r="B67" s="65" t="str">
        <x:v>how does api integration work</x:v>
      </x:c>
      <x:c r="C67" s="65" t="str">
        <x:v>related</x:v>
      </x:c>
      <x:c r="D67" s="65" t="str">
        <x:v>3,600/mo</x:v>
      </x:c>
      <x:c r="E67" s="65" t="str">
        <x:v>1,600/mo</x:v>
      </x:c>
      <x:c r="F67" s="65" t="str">
        <x:v>n/a (not returned by endpoint)</x:v>
      </x:c>
      <x:c r="G67" s="65" t="str">
        <x:v>16/100</x:v>
      </x:c>
      <x:c r="H67" s="65" t="str">
        <x:v>$9.7</x:v>
      </x:c>
      <x:c r="I67" s="65" t="str">
        <x:v>$0</x:v>
      </x:c>
      <x:c r="J67" s="65" t="str">
        <x:v>0.33 (medium)</x:v>
      </x:c>
      <x:c r="K67" s="65" t="str">
        <x:v>0.33 (medium)</x:v>
      </x:c>
      <x:c r="L67" s="65" t="str">
        <x:v>n/a (not returned by endpoint)</x:v>
      </x:c>
      <x:c r="M67" s="65" t="str">
        <x:v>n/a (not returned by endpoint)</x:v>
      </x:c>
    </x:row>
    <x:row r="68">
      <x:c r="A68" s="65" t="str">
        <x:v>is better to have a separate backend and frontend databases</x:v>
      </x:c>
      <x:c r="B68" s="65" t="str">
        <x:v>frontend backend database</x:v>
      </x:c>
      <x:c r="C68" s="65" t="str">
        <x:v>question</x:v>
      </x:c>
      <x:c r="D68" s="65" t="str">
        <x:v>0/mo</x:v>
      </x:c>
      <x:c r="E68" s="65" t="str">
        <x:v>n/a (no row returned)</x:v>
      </x:c>
      <x:c r="F68" s="65" t="str">
        <x:v>n/a (not returned by endpoint)</x:v>
      </x:c>
      <x:c r="G68" s="65" t="str">
        <x:v>n/a (no row returned)</x:v>
      </x:c>
      <x:c r="H68" s="65" t="str">
        <x:v>$0</x:v>
      </x:c>
      <x:c r="I68" s="65" t="str">
        <x:v>n/a (no row returned)</x:v>
      </x:c>
      <x:c r="J68" s="65" t="str">
        <x:v>0 (low)</x:v>
      </x:c>
      <x:c r="K68" s="65" t="str">
        <x:v>n/a (no row returned)</x:v>
      </x:c>
      <x:c r="L68" s="65" t="str">
        <x:v>n/a (not returned by endpoint)</x:v>
      </x:c>
      <x:c r="M68" s="65" t="str">
        <x:v>n/a (not returned by endpoint)</x:v>
      </x:c>
    </x:row>
    <x:row r="69">
      <x:c r="A69" s="65" t="str">
        <x:v>is database backend or frontend</x:v>
      </x:c>
      <x:c r="B69" s="65" t="str">
        <x:v>frontend backend database</x:v>
      </x:c>
      <x:c r="C69" s="65" t="str">
        <x:v>question</x:v>
      </x:c>
      <x:c r="D69" s="65" t="str">
        <x:v>20/mo</x:v>
      </x:c>
      <x:c r="E69" s="65" t="str">
        <x:v>10/mo</x:v>
      </x:c>
      <x:c r="F69" s="65" t="str">
        <x:v>n/a (not returned by endpoint)</x:v>
      </x:c>
      <x:c r="G69" s="65" t="str">
        <x:v>0/100</x:v>
      </x:c>
      <x:c r="H69" s="65" t="str">
        <x:v>$0</x:v>
      </x:c>
      <x:c r="I69" s="65" t="str">
        <x:v>$0</x:v>
      </x:c>
      <x:c r="J69" s="65" t="str">
        <x:v>0.33 (medium)</x:v>
      </x:c>
      <x:c r="K69" s="65" t="str">
        <x:v>0 (low)</x:v>
      </x:c>
      <x:c r="L69" s="65" t="str">
        <x:v>n/a (not returned by endpoint)</x:v>
      </x:c>
      <x:c r="M69" s="65" t="str">
        <x:v>n/a (not returned by endpoint)</x:v>
      </x:c>
    </x:row>
    <x:row r="70">
      <x:c r="A70" s="65" t="str">
        <x:v>is database frontend or backend</x:v>
      </x:c>
      <x:c r="B70" s="65" t="str">
        <x:v>frontend backend database</x:v>
      </x:c>
      <x:c r="C70" s="65" t="str">
        <x:v>question</x:v>
      </x:c>
      <x:c r="D70" s="65" t="str">
        <x:v>20/mo</x:v>
      </x:c>
      <x:c r="E70" s="65" t="str">
        <x:v>0/mo</x:v>
      </x:c>
      <x:c r="F70" s="65" t="str">
        <x:v>n/a (not returned by endpoint)</x:v>
      </x:c>
      <x:c r="G70" s="65" t="str">
        <x:v>0/100</x:v>
      </x:c>
      <x:c r="H70" s="65" t="str">
        <x:v>$0</x:v>
      </x:c>
      <x:c r="I70" s="65" t="str">
        <x:v>$0</x:v>
      </x:c>
      <x:c r="J70" s="65" t="str">
        <x:v>0.33 (medium)</x:v>
      </x:c>
      <x:c r="K70" s="65" t="str">
        <x:v>0 (low)</x:v>
      </x:c>
      <x:c r="L70" s="65" t="str">
        <x:v>n/a (not returned by endpoint)</x:v>
      </x:c>
      <x:c r="M70" s="65" t="str">
        <x:v>n/a (not returned by endpoint)</x:v>
      </x:c>
    </x:row>
    <x:row r="71">
      <x:c r="A71" s="65" t="str">
        <x:v>minimum viable product</x:v>
      </x:c>
      <x:c r="B71" s="65" t="str">
        <x:v>mvp vs prototype vs poc</x:v>
      </x:c>
      <x:c r="C71" s="65" t="str">
        <x:v>related</x:v>
      </x:c>
      <x:c r="D71" s="65" t="str">
        <x:v>6,600/mo</x:v>
      </x:c>
      <x:c r="E71" s="65" t="str">
        <x:v>1,600/mo</x:v>
      </x:c>
      <x:c r="F71" s="65" t="str">
        <x:v>n/a (not returned by endpoint)</x:v>
      </x:c>
      <x:c r="G71" s="65" t="str">
        <x:v>49/100</x:v>
      </x:c>
      <x:c r="H71" s="65" t="str">
        <x:v>$3.21</x:v>
      </x:c>
      <x:c r="I71" s="65" t="str">
        <x:v>$4.53</x:v>
      </x:c>
      <x:c r="J71" s="65" t="str">
        <x:v>0.08 (low)</x:v>
      </x:c>
      <x:c r="K71" s="65" t="str">
        <x:v>0.08 (low)</x:v>
      </x:c>
      <x:c r="L71" s="65" t="str">
        <x:v>n/a (not returned by endpoint)</x:v>
      </x:c>
      <x:c r="M71" s="65" t="str">
        <x:v>n/a (not returned by endpoint)</x:v>
      </x:c>
    </x:row>
    <x:row r="72">
      <x:c r="A72" s="65" t="str">
        <x:v>most viable product</x:v>
      </x:c>
      <x:c r="B72" s="65" t="str">
        <x:v>mvp vs prototype vs poc</x:v>
      </x:c>
      <x:c r="C72" s="65" t="str">
        <x:v>related</x:v>
      </x:c>
      <x:c r="D72" s="65" t="str">
        <x:v>2,400/mo</x:v>
      </x:c>
      <x:c r="E72" s="65" t="str">
        <x:v>70/mo</x:v>
      </x:c>
      <x:c r="F72" s="65" t="str">
        <x:v>n/a (not returned by endpoint)</x:v>
      </x:c>
      <x:c r="G72" s="65" t="str">
        <x:v>0/100</x:v>
      </x:c>
      <x:c r="H72" s="65" t="str">
        <x:v>$3.21</x:v>
      </x:c>
      <x:c r="I72" s="65" t="str">
        <x:v>$2.29</x:v>
      </x:c>
      <x:c r="J72" s="65" t="str">
        <x:v>0.08 (low)</x:v>
      </x:c>
      <x:c r="K72" s="65" t="str">
        <x:v>0.12 (low)</x:v>
      </x:c>
      <x:c r="L72" s="65" t="str">
        <x:v>n/a (not returned by endpoint)</x:v>
      </x:c>
      <x:c r="M72" s="65" t="str">
        <x:v>n/a (not returned by endpoint)</x:v>
      </x:c>
    </x:row>
    <x:row r="73">
      <x:c r="A73" s="65" t="str">
        <x:v>mvp</x:v>
      </x:c>
      <x:c r="B73" s="65" t="str">
        <x:v>mvp vs prototype vs poc</x:v>
      </x:c>
      <x:c r="C73" s="65" t="str">
        <x:v>related</x:v>
      </x:c>
      <x:c r="D73" s="65" t="str">
        <x:v>74,000/mo</x:v>
      </x:c>
      <x:c r="E73" s="65" t="str">
        <x:v>14,800/mo</x:v>
      </x:c>
      <x:c r="F73" s="65" t="str">
        <x:v>n/a (not returned by endpoint)</x:v>
      </x:c>
      <x:c r="G73" s="65" t="str">
        <x:v>65/100</x:v>
      </x:c>
      <x:c r="H73" s="65" t="str">
        <x:v>$1.27</x:v>
      </x:c>
      <x:c r="I73" s="65" t="str">
        <x:v>$2.4</x:v>
      </x:c>
      <x:c r="J73" s="65" t="str">
        <x:v>0.02 (low)</x:v>
      </x:c>
      <x:c r="K73" s="65" t="str">
        <x:v>0.01 (low)</x:v>
      </x:c>
      <x:c r="L73" s="65" t="str">
        <x:v>n/a (not returned by endpoint)</x:v>
      </x:c>
      <x:c r="M73" s="65" t="str">
        <x:v>n/a (not returned by endpoint)</x:v>
      </x:c>
    </x:row>
    <x:row r="74">
      <x:c r="A74" s="65" t="str">
        <x:v>mvp meaning</x:v>
      </x:c>
      <x:c r="B74" s="65" t="str">
        <x:v>mvp vs prototype vs poc</x:v>
      </x:c>
      <x:c r="C74" s="65" t="str">
        <x:v>related</x:v>
      </x:c>
      <x:c r="D74" s="65" t="str">
        <x:v>18,100/mo</x:v>
      </x:c>
      <x:c r="E74" s="65" t="str">
        <x:v>12,100/mo</x:v>
      </x:c>
      <x:c r="F74" s="65" t="str">
        <x:v>n/a (not returned by endpoint)</x:v>
      </x:c>
      <x:c r="G74" s="65" t="str">
        <x:v>52/100</x:v>
      </x:c>
      <x:c r="H74" s="65" t="str">
        <x:v>$4.57</x:v>
      </x:c>
      <x:c r="I74" s="65" t="str">
        <x:v>$0.94</x:v>
      </x:c>
      <x:c r="J74" s="65" t="str">
        <x:v>0.33 (medium)</x:v>
      </x:c>
      <x:c r="K74" s="65" t="str">
        <x:v>0.33 (medium)</x:v>
      </x:c>
      <x:c r="L74" s="65" t="str">
        <x:v>n/a (not returned by endpoint)</x:v>
      </x:c>
      <x:c r="M74" s="65" t="str">
        <x:v>n/a (not returned by endpoint)</x:v>
      </x:c>
    </x:row>
    <x:row r="75">
      <x:c r="A75" s="65" t="str">
        <x:v>mvp sportsplex</x:v>
      </x:c>
      <x:c r="B75" s="65" t="str">
        <x:v>mvp vs prototype vs poc</x:v>
      </x:c>
      <x:c r="C75" s="65" t="str">
        <x:v>related</x:v>
      </x:c>
      <x:c r="D75" s="65" t="str">
        <x:v>3,600/mo</x:v>
      </x:c>
      <x:c r="E75" s="65" t="str">
        <x:v>20/mo</x:v>
      </x:c>
      <x:c r="F75" s="65" t="str">
        <x:v>n/a (not returned by endpoint)</x:v>
      </x:c>
      <x:c r="G75" s="65" t="str">
        <x:v>0/100</x:v>
      </x:c>
      <x:c r="H75" s="65" t="str">
        <x:v>$1.66</x:v>
      </x:c>
      <x:c r="I75" s="65" t="str">
        <x:v>$0</x:v>
      </x:c>
      <x:c r="J75" s="65" t="str">
        <x:v>0.07 (low)</x:v>
      </x:c>
      <x:c r="K75" s="65" t="str">
        <x:v>0.33 (medium)</x:v>
      </x:c>
      <x:c r="L75" s="65" t="str">
        <x:v>n/a (not returned by endpoint)</x:v>
      </x:c>
      <x:c r="M75" s="65" t="str">
        <x:v>n/a (not returned by endpoint)</x:v>
      </x:c>
    </x:row>
    <x:row r="76">
      <x:c r="A76" s="65" t="str">
        <x:v>mvps</x:v>
      </x:c>
      <x:c r="B76" s="65" t="str">
        <x:v>mvp vs prototype vs poc</x:v>
      </x:c>
      <x:c r="C76" s="65" t="str">
        <x:v>related</x:v>
      </x:c>
      <x:c r="D76" s="65" t="str">
        <x:v>2,900/mo</x:v>
      </x:c>
      <x:c r="E76" s="65" t="str">
        <x:v>1,000/mo</x:v>
      </x:c>
      <x:c r="F76" s="65" t="str">
        <x:v>n/a (not returned by endpoint)</x:v>
      </x:c>
      <x:c r="G76" s="65" t="str">
        <x:v>72/100</x:v>
      </x:c>
      <x:c r="H76" s="65" t="str">
        <x:v>$1.27</x:v>
      </x:c>
      <x:c r="I76" s="65" t="str">
        <x:v>$2.4</x:v>
      </x:c>
      <x:c r="J76" s="65" t="str">
        <x:v>0.02 (low)</x:v>
      </x:c>
      <x:c r="K76" s="65" t="str">
        <x:v>0.01 (low)</x:v>
      </x:c>
      <x:c r="L76" s="65" t="str">
        <x:v>n/a (not returned by endpoint)</x:v>
      </x:c>
      <x:c r="M76" s="65" t="str">
        <x:v>n/a (not returned by endpoint)</x:v>
      </x:c>
    </x:row>
    <x:row r="77">
      <x:c r="A77" s="65" t="str">
        <x:v>prod dev</x:v>
      </x:c>
      <x:c r="B77" s="65" t="str">
        <x:v>staging vs production</x:v>
      </x:c>
      <x:c r="C77" s="65" t="str">
        <x:v>related</x:v>
      </x:c>
      <x:c r="D77" s="65" t="str">
        <x:v>720/mo</x:v>
      </x:c>
      <x:c r="E77" s="65" t="str">
        <x:v>320/mo</x:v>
      </x:c>
      <x:c r="F77" s="65" t="str">
        <x:v>n/a (not returned by endpoint)</x:v>
      </x:c>
      <x:c r="G77" s="65" t="str">
        <x:v>28/100</x:v>
      </x:c>
      <x:c r="H77" s="65" t="str">
        <x:v>$5.41</x:v>
      </x:c>
      <x:c r="I77" s="65" t="str">
        <x:v>$3.43</x:v>
      </x:c>
      <x:c r="J77" s="65" t="str">
        <x:v>0.13 (low)</x:v>
      </x:c>
      <x:c r="K77" s="65" t="str">
        <x:v>0.15 (low)</x:v>
      </x:c>
      <x:c r="L77" s="65" t="str">
        <x:v>n/a (not returned by endpoint)</x:v>
      </x:c>
      <x:c r="M77" s="65" t="str">
        <x:v>n/a (not returned by endpoint)</x:v>
      </x:c>
    </x:row>
    <x:row r="78">
      <x:c r="A78" s="65" t="str">
        <x:v>production environment</x:v>
      </x:c>
      <x:c r="B78" s="65" t="str">
        <x:v>staging vs production</x:v>
      </x:c>
      <x:c r="C78" s="65" t="str">
        <x:v>related</x:v>
      </x:c>
      <x:c r="D78" s="65" t="str">
        <x:v>590/mo</x:v>
      </x:c>
      <x:c r="E78" s="65" t="str">
        <x:v>110/mo</x:v>
      </x:c>
      <x:c r="F78" s="65" t="str">
        <x:v>n/a (not returned by endpoint)</x:v>
      </x:c>
      <x:c r="G78" s="65" t="str">
        <x:v>15/100</x:v>
      </x:c>
      <x:c r="H78" s="65" t="str">
        <x:v>$0</x:v>
      </x:c>
      <x:c r="I78" s="65" t="str">
        <x:v>$0</x:v>
      </x:c>
      <x:c r="J78" s="65" t="str">
        <x:v>0.33 (medium)</x:v>
      </x:c>
      <x:c r="K78" s="65" t="str">
        <x:v>0.01 (low)</x:v>
      </x:c>
      <x:c r="L78" s="65" t="str">
        <x:v>n/a (not returned by endpoint)</x:v>
      </x:c>
      <x:c r="M78" s="65" t="str">
        <x:v>n/a (not returned by endpoint)</x:v>
      </x:c>
    </x:row>
    <x:row r="79">
      <x:c r="A79" s="65" t="str">
        <x:v>r continuous integration</x:v>
      </x:c>
      <x:c r="B79" s="65" t="str">
        <x:v>how does ci cd pipeline work</x:v>
      </x:c>
      <x:c r="C79" s="65" t="str">
        <x:v>related</x:v>
      </x:c>
      <x:c r="D79" s="65" t="str">
        <x:v>33,100/mo</x:v>
      </x:c>
      <x:c r="E79" s="65" t="str">
        <x:v>6,600/mo</x:v>
      </x:c>
      <x:c r="F79" s="65" t="str">
        <x:v>n/a (not returned by endpoint)</x:v>
      </x:c>
      <x:c r="G79" s="65" t="str">
        <x:v>26/100</x:v>
      </x:c>
      <x:c r="H79" s="65" t="str">
        <x:v>$0.37</x:v>
      </x:c>
      <x:c r="I79" s="65" t="str">
        <x:v>$1.25</x:v>
      </x:c>
      <x:c r="J79" s="65" t="str">
        <x:v>0.22 (low)</x:v>
      </x:c>
      <x:c r="K79" s="65" t="str">
        <x:v>0.01 (low)</x:v>
      </x:c>
      <x:c r="L79" s="65" t="str">
        <x:v>n/a (not returned by endpoint)</x:v>
      </x:c>
      <x:c r="M79" s="65" t="str">
        <x:v>n/a (not returned by endpoint)</x:v>
      </x:c>
    </x:row>
    <x:row r="80">
      <x:c r="A80" s="65" t="str">
        <x:v>sportswear clubs</x:v>
      </x:c>
      <x:c r="B80" s="65" t="str">
        <x:v>mvp vs prototype vs poc</x:v>
      </x:c>
      <x:c r="C80" s="65" t="str">
        <x:v>related</x:v>
      </x:c>
      <x:c r="D80" s="65" t="str">
        <x:v>18,100/mo</x:v>
      </x:c>
      <x:c r="E80" s="65" t="str">
        <x:v>5,400/mo</x:v>
      </x:c>
      <x:c r="F80" s="65" t="str">
        <x:v>n/a (not returned by endpoint)</x:v>
      </x:c>
      <x:c r="G80" s="65" t="str">
        <x:v>18/100</x:v>
      </x:c>
      <x:c r="H80" s="65" t="str">
        <x:v>$0</x:v>
      </x:c>
      <x:c r="I80" s="65" t="str">
        <x:v>$1.11</x:v>
      </x:c>
      <x:c r="J80" s="65" t="str">
        <x:v>0.33 (medium)</x:v>
      </x:c>
      <x:c r="K80" s="65" t="str">
        <x:v>0.05 (low)</x:v>
      </x:c>
      <x:c r="L80" s="65" t="str">
        <x:v>n/a (not returned by endpoint)</x:v>
      </x:c>
      <x:c r="M80" s="65" t="str">
        <x:v>n/a (not returned by endpoint)</x:v>
      </x:c>
    </x:row>
    <x:row r="81">
      <x:c r="A81" s="65" t="str">
        <x:v>sprots club</x:v>
      </x:c>
      <x:c r="B81" s="65" t="str">
        <x:v>mvp vs prototype vs poc</x:v>
      </x:c>
      <x:c r="C81" s="65" t="str">
        <x:v>related</x:v>
      </x:c>
      <x:c r="D81" s="65" t="str">
        <x:v>3,600/mo</x:v>
      </x:c>
      <x:c r="E81" s="65" t="str">
        <x:v>0/mo</x:v>
      </x:c>
      <x:c r="F81" s="65" t="str">
        <x:v>n/a (not returned by endpoint)</x:v>
      </x:c>
      <x:c r="G81" s="65" t="str">
        <x:v>0/100</x:v>
      </x:c>
      <x:c r="H81" s="65" t="str">
        <x:v>$1.84</x:v>
      </x:c>
      <x:c r="I81" s="65" t="str">
        <x:v>$1.21</x:v>
      </x:c>
      <x:c r="J81" s="65" t="str">
        <x:v>0.06 (low)</x:v>
      </x:c>
      <x:c r="K81" s="65" t="str">
        <x:v>0.01 (low)</x:v>
      </x:c>
      <x:c r="L81" s="65" t="str">
        <x:v>n/a (not returned by endpoint)</x:v>
      </x:c>
      <x:c r="M81" s="65" t="str">
        <x:v>n/a (not returned by endpoint)</x:v>
      </x:c>
    </x:row>
    <x:row r="82">
      <x:c r="A82" s="65" t="str">
        <x:v>staging environment</x:v>
      </x:c>
      <x:c r="B82" s="65" t="str">
        <x:v>staging vs production</x:v>
      </x:c>
      <x:c r="C82" s="65" t="str">
        <x:v>related</x:v>
      </x:c>
      <x:c r="D82" s="65" t="str">
        <x:v>390/mo</x:v>
      </x:c>
      <x:c r="E82" s="65" t="str">
        <x:v>140/mo</x:v>
      </x:c>
      <x:c r="F82" s="65" t="str">
        <x:v>n/a (not returned by endpoint)</x:v>
      </x:c>
      <x:c r="G82" s="65" t="str">
        <x:v>28/100</x:v>
      </x:c>
      <x:c r="H82" s="65" t="str">
        <x:v>$12.56</x:v>
      </x:c>
      <x:c r="I82" s="65" t="str">
        <x:v>$0</x:v>
      </x:c>
      <x:c r="J82" s="65" t="str">
        <x:v>0.01 (low)</x:v>
      </x:c>
      <x:c r="K82" s="65" t="str">
        <x:v>0.33 (medium)</x:v>
      </x:c>
      <x:c r="L82" s="65" t="str">
        <x:v>n/a (not returned by endpoint)</x:v>
      </x:c>
      <x:c r="M82" s="65" t="str">
        <x:v>n/a (not returned by endpoint)</x:v>
      </x:c>
    </x:row>
    <x:row r="83">
      <x:c r="A83" s="65" t="str">
        <x:v>tech debt</x:v>
      </x:c>
      <x:c r="B83" s="65" t="str">
        <x:v>what is technical debt in software development</x:v>
      </x:c>
      <x:c r="C83" s="65" t="str">
        <x:v>related</x:v>
      </x:c>
      <x:c r="D83" s="65" t="str">
        <x:v>3,600/mo</x:v>
      </x:c>
      <x:c r="E83" s="65" t="str">
        <x:v>1,000/mo</x:v>
      </x:c>
      <x:c r="F83" s="65" t="str">
        <x:v>n/a (not returned by endpoint)</x:v>
      </x:c>
      <x:c r="G83" s="65" t="str">
        <x:v>47/100</x:v>
      </x:c>
      <x:c r="H83" s="65" t="str">
        <x:v>$3.17</x:v>
      </x:c>
      <x:c r="I83" s="65" t="str">
        <x:v>$2.4</x:v>
      </x:c>
      <x:c r="J83" s="65" t="str">
        <x:v>0.01 (low)</x:v>
      </x:c>
      <x:c r="K83" s="65" t="str">
        <x:v>0.01 (low)</x:v>
      </x:c>
      <x:c r="L83" s="65" t="str">
        <x:v>n/a (not returned by endpoint)</x:v>
      </x:c>
      <x:c r="M83" s="65" t="str">
        <x:v>n/a (not returned by endpoint)</x:v>
      </x:c>
    </x:row>
    <x:row r="84">
      <x:c r="A84" s="65" t="str">
        <x:v>tech debt meaning</x:v>
      </x:c>
      <x:c r="B84" s="65" t="str">
        <x:v>what is technical debt in software development</x:v>
      </x:c>
      <x:c r="C84" s="65" t="str">
        <x:v>related</x:v>
      </x:c>
      <x:c r="D84" s="65" t="str">
        <x:v>720/mo</x:v>
      </x:c>
      <x:c r="E84" s="65" t="str">
        <x:v>170/mo</x:v>
      </x:c>
      <x:c r="F84" s="65" t="str">
        <x:v>n/a (not returned by endpoint)</x:v>
      </x:c>
      <x:c r="G84" s="65" t="str">
        <x:v>49/100</x:v>
      </x:c>
      <x:c r="H84" s="65" t="str">
        <x:v>$4.5</x:v>
      </x:c>
      <x:c r="I84" s="65" t="str">
        <x:v>$0</x:v>
      </x:c>
      <x:c r="J84" s="65" t="str">
        <x:v>0.03 (low)</x:v>
      </x:c>
      <x:c r="K84" s="65" t="str">
        <x:v>0.02 (low)</x:v>
      </x:c>
      <x:c r="L84" s="65" t="str">
        <x:v>n/a (not returned by endpoint)</x:v>
      </x:c>
      <x:c r="M84" s="65" t="str">
        <x:v>n/a (not returned by endpoint)</x:v>
      </x:c>
    </x:row>
    <x:row r="85">
      <x:c r="A85" s="65" t="str">
        <x:v>tech debt quadrant</x:v>
      </x:c>
      <x:c r="B85" s="65" t="str">
        <x:v>what is technical debt in software development</x:v>
      </x:c>
      <x:c r="C85" s="65" t="str">
        <x:v>related</x:v>
      </x:c>
      <x:c r="D85" s="65" t="str">
        <x:v>590/mo</x:v>
      </x:c>
      <x:c r="E85" s="65" t="str">
        <x:v>20/mo</x:v>
      </x:c>
      <x:c r="F85" s="65" t="str">
        <x:v>n/a (not returned by endpoint)</x:v>
      </x:c>
      <x:c r="G85" s="65" t="str">
        <x:v>0/100</x:v>
      </x:c>
      <x:c r="H85" s="65" t="str">
        <x:v>$0</x:v>
      </x:c>
      <x:c r="I85" s="65" t="str">
        <x:v>$0</x:v>
      </x:c>
      <x:c r="J85" s="65" t="str">
        <x:v>0.33 (medium)</x:v>
      </x:c>
      <x:c r="K85" s="65" t="str">
        <x:v>0.05 (low)</x:v>
      </x:c>
      <x:c r="L85" s="65" t="str">
        <x:v>n/a (not returned by endpoint)</x:v>
      </x:c>
      <x:c r="M85" s="65" t="str">
        <x:v>n/a (not returned by endpoint)</x:v>
      </x:c>
    </x:row>
    <x:row r="86">
      <x:c r="A86" s="65" t="str">
        <x:v>technical debt</x:v>
      </x:c>
      <x:c r="B86" s="65" t="str">
        <x:v>what is technical debt in software development</x:v>
      </x:c>
      <x:c r="C86" s="65" t="str">
        <x:v>related</x:v>
      </x:c>
      <x:c r="D86" s="65" t="str">
        <x:v>5,400/mo</x:v>
      </x:c>
      <x:c r="E86" s="65" t="str">
        <x:v>1,600/mo</x:v>
      </x:c>
      <x:c r="F86" s="65" t="str">
        <x:v>n/a (not returned by endpoint)</x:v>
      </x:c>
      <x:c r="G86" s="65" t="str">
        <x:v>58/100</x:v>
      </x:c>
      <x:c r="H86" s="65" t="str">
        <x:v>$3.17</x:v>
      </x:c>
      <x:c r="I86" s="65" t="str">
        <x:v>$2.4</x:v>
      </x:c>
      <x:c r="J86" s="65" t="str">
        <x:v>0.01 (low)</x:v>
      </x:c>
      <x:c r="K86" s="65" t="str">
        <x:v>0.01 (low)</x:v>
      </x:c>
      <x:c r="L86" s="65" t="str">
        <x:v>n/a (not returned by endpoint)</x:v>
      </x:c>
      <x:c r="M86" s="65" t="str">
        <x:v>n/a (not returned by endpoint)</x:v>
      </x:c>
    </x:row>
    <x:row r="87">
      <x:c r="A87" s="65" t="str">
        <x:v>technical debt definition</x:v>
      </x:c>
      <x:c r="B87" s="65" t="str">
        <x:v>what is technical debt in software development</x:v>
      </x:c>
      <x:c r="C87" s="65" t="str">
        <x:v>related</x:v>
      </x:c>
      <x:c r="D87" s="65" t="str">
        <x:v>1,000/mo</x:v>
      </x:c>
      <x:c r="E87" s="65" t="str">
        <x:v>320/mo</x:v>
      </x:c>
      <x:c r="F87" s="65" t="str">
        <x:v>n/a (not returned by endpoint)</x:v>
      </x:c>
      <x:c r="G87" s="65" t="str">
        <x:v>48/100</x:v>
      </x:c>
      <x:c r="H87" s="65" t="str">
        <x:v>$1.8</x:v>
      </x:c>
      <x:c r="I87" s="65" t="str">
        <x:v>$0.93</x:v>
      </x:c>
      <x:c r="J87" s="65" t="str">
        <x:v>0.02 (low)</x:v>
      </x:c>
      <x:c r="K87" s="65" t="str">
        <x:v>0.03 (low)</x:v>
      </x:c>
      <x:c r="L87" s="65" t="str">
        <x:v>n/a (not returned by endpoint)</x:v>
      </x:c>
      <x:c r="M87" s="65" t="str">
        <x:v>n/a (not returned by endpoint)</x:v>
      </x:c>
    </x:row>
    <x:row r="88">
      <x:c r="A88" s="65" t="str">
        <x:v>technical debt meaning</x:v>
      </x:c>
      <x:c r="B88" s="65" t="str">
        <x:v>what is technical debt in software development</x:v>
      </x:c>
      <x:c r="C88" s="65" t="str">
        <x:v>related</x:v>
      </x:c>
      <x:c r="D88" s="65" t="str">
        <x:v>1,000/mo</x:v>
      </x:c>
      <x:c r="E88" s="65" t="str">
        <x:v>390/mo</x:v>
      </x:c>
      <x:c r="F88" s="65" t="str">
        <x:v>n/a (not returned by endpoint)</x:v>
      </x:c>
      <x:c r="G88" s="65" t="str">
        <x:v>50/100</x:v>
      </x:c>
      <x:c r="H88" s="65" t="str">
        <x:v>$1.8</x:v>
      </x:c>
      <x:c r="I88" s="65" t="str">
        <x:v>$0.93</x:v>
      </x:c>
      <x:c r="J88" s="65" t="str">
        <x:v>0.02 (low)</x:v>
      </x:c>
      <x:c r="K88" s="65" t="str">
        <x:v>0.03 (low)</x:v>
      </x:c>
      <x:c r="L88" s="65" t="str">
        <x:v>n/a (not returned by endpoint)</x:v>
      </x:c>
      <x:c r="M88" s="65" t="str">
        <x:v>n/a (not returned by endpoint)</x:v>
      </x:c>
    </x:row>
    <x:row r="89">
      <x:c r="A89" s="65" t="str">
        <x:v>test environment</x:v>
      </x:c>
      <x:c r="B89" s="65" t="str">
        <x:v>staging vs production</x:v>
      </x:c>
      <x:c r="C89" s="65" t="str">
        <x:v>related</x:v>
      </x:c>
      <x:c r="D89" s="65" t="str">
        <x:v>390/mo</x:v>
      </x:c>
      <x:c r="E89" s="65" t="str">
        <x:v>110/mo</x:v>
      </x:c>
      <x:c r="F89" s="65" t="str">
        <x:v>n/a (not returned by endpoint)</x:v>
      </x:c>
      <x:c r="G89" s="65" t="str">
        <x:v>33/100</x:v>
      </x:c>
      <x:c r="H89" s="65" t="str">
        <x:v>$6.21</x:v>
      </x:c>
      <x:c r="I89" s="65" t="str">
        <x:v>$3.42</x:v>
      </x:c>
      <x:c r="J89" s="65" t="str">
        <x:v>0.01 (low)</x:v>
      </x:c>
      <x:c r="K89" s="65" t="str">
        <x:v>0.02 (low)</x:v>
      </x:c>
      <x:c r="L89" s="65" t="str">
        <x:v>n/a (not returned by endpoint)</x:v>
      </x:c>
      <x:c r="M89" s="65" t="str">
        <x:v>n/a (not returned by endpoint)</x:v>
      </x:c>
    </x:row>
    <x:row r="90">
      <x:c r="A90" s="65" t="str">
        <x:v>uat environment</x:v>
      </x:c>
      <x:c r="B90" s="65" t="str">
        <x:v>staging vs production</x:v>
      </x:c>
      <x:c r="C90" s="65" t="str">
        <x:v>related</x:v>
      </x:c>
      <x:c r="D90" s="65" t="str">
        <x:v>880/mo</x:v>
      </x:c>
      <x:c r="E90" s="65" t="str">
        <x:v>210/mo</x:v>
      </x:c>
      <x:c r="F90" s="65" t="str">
        <x:v>n/a (not returned by endpoint)</x:v>
      </x:c>
      <x:c r="G90" s="65" t="str">
        <x:v>28/100</x:v>
      </x:c>
      <x:c r="H90" s="65" t="str">
        <x:v>$0</x:v>
      </x:c>
      <x:c r="I90" s="65" t="str">
        <x:v>$0</x:v>
      </x:c>
      <x:c r="J90" s="65" t="str">
        <x:v>0.33 (medium)</x:v>
      </x:c>
      <x:c r="K90" s="65" t="str">
        <x:v>0.33 (medium)</x:v>
      </x:c>
      <x:c r="L90" s="65" t="str">
        <x:v>n/a (not returned by endpoint)</x:v>
      </x:c>
      <x:c r="M90" s="65" t="str">
        <x:v>n/a (not returned by endpoint)</x:v>
      </x:c>
    </x:row>
    <x:row r="91">
      <x:c r="A91" s="65" t="str">
        <x:v>vibe code</x:v>
      </x:c>
      <x:c r="B91" s="65" t="str">
        <x:v>vibe coding for beginners; how does vibe coding work</x:v>
      </x:c>
      <x:c r="C91" s="65" t="str">
        <x:v>related</x:v>
      </x:c>
      <x:c r="D91" s="65" t="str">
        <x:v>27,100/mo</x:v>
      </x:c>
      <x:c r="E91" s="65" t="str">
        <x:v>1,600/mo</x:v>
      </x:c>
      <x:c r="F91" s="65" t="str">
        <x:v>n/a (not returned by endpoint)</x:v>
      </x:c>
      <x:c r="G91" s="65" t="str">
        <x:v>66/100</x:v>
      </x:c>
      <x:c r="H91" s="65" t="str">
        <x:v>$4.32</x:v>
      </x:c>
      <x:c r="I91" s="65" t="str">
        <x:v>$2.74</x:v>
      </x:c>
      <x:c r="J91" s="65" t="str">
        <x:v>0.46 (medium)</x:v>
      </x:c>
      <x:c r="K91" s="65" t="str">
        <x:v>0.4 (medium)</x:v>
      </x:c>
      <x:c r="L91" s="65" t="str">
        <x:v>n/a (not returned by endpoint)</x:v>
      </x:c>
      <x:c r="M91" s="65" t="str">
        <x:v>n/a (not returned by endpoint)</x:v>
      </x:c>
    </x:row>
    <x:row r="92">
      <x:c r="A92" s="65" t="str">
        <x:v>vibe coded</x:v>
      </x:c>
      <x:c r="B92" s="65" t="str">
        <x:v>vibe coding for beginners; how does vibe coding work</x:v>
      </x:c>
      <x:c r="C92" s="65" t="str">
        <x:v>related</x:v>
      </x:c>
      <x:c r="D92" s="65" t="str">
        <x:v>4,400/mo</x:v>
      </x:c>
      <x:c r="E92" s="65" t="str">
        <x:v>260/mo</x:v>
      </x:c>
      <x:c r="F92" s="65" t="str">
        <x:v>n/a (not returned by endpoint)</x:v>
      </x:c>
      <x:c r="G92" s="65" t="str">
        <x:v>80/100</x:v>
      </x:c>
      <x:c r="H92" s="65" t="str">
        <x:v>$4.32</x:v>
      </x:c>
      <x:c r="I92" s="65" t="str">
        <x:v>$2.74</x:v>
      </x:c>
      <x:c r="J92" s="65" t="str">
        <x:v>0.46 (medium)</x:v>
      </x:c>
      <x:c r="K92" s="65" t="str">
        <x:v>0.4 (medium)</x:v>
      </x:c>
      <x:c r="L92" s="65" t="str">
        <x:v>n/a (not returned by endpoint)</x:v>
      </x:c>
      <x:c r="M92" s="65" t="str">
        <x:v>n/a (not returned by endpoint)</x:v>
      </x:c>
    </x:row>
    <x:row r="93">
      <x:c r="A93" s="65" t="str">
        <x:v>vibe coder</x:v>
      </x:c>
      <x:c r="B93" s="65" t="str">
        <x:v>how does vibe coding work</x:v>
      </x:c>
      <x:c r="C93" s="65" t="str">
        <x:v>related</x:v>
      </x:c>
      <x:c r="D93" s="65" t="str">
        <x:v>9,900/mo</x:v>
      </x:c>
      <x:c r="E93" s="65" t="str">
        <x:v>1,300/mo</x:v>
      </x:c>
      <x:c r="F93" s="65" t="str">
        <x:v>n/a (not returned by endpoint)</x:v>
      </x:c>
      <x:c r="G93" s="65" t="str">
        <x:v>57/100</x:v>
      </x:c>
      <x:c r="H93" s="65" t="str">
        <x:v>$4.32</x:v>
      </x:c>
      <x:c r="I93" s="65" t="str">
        <x:v>$2.74</x:v>
      </x:c>
      <x:c r="J93" s="65" t="str">
        <x:v>0.46 (medium)</x:v>
      </x:c>
      <x:c r="K93" s="65" t="str">
        <x:v>0.4 (medium)</x:v>
      </x:c>
      <x:c r="L93" s="65" t="str">
        <x:v>n/a (not returned by endpoint)</x:v>
      </x:c>
      <x:c r="M93" s="65" t="str">
        <x:v>n/a (not returned by endpoint)</x:v>
      </x:c>
    </x:row>
    <x:row r="94">
      <x:c r="A94" s="65" t="str">
        <x:v>vibe coding</x:v>
      </x:c>
      <x:c r="B94" s="65" t="str">
        <x:v>vibe coding for beginners; how does vibe coding work</x:v>
      </x:c>
      <x:c r="C94" s="65" t="str">
        <x:v>related</x:v>
      </x:c>
      <x:c r="D94" s="65" t="str">
        <x:v>90,500/mo</x:v>
      </x:c>
      <x:c r="E94" s="65" t="str">
        <x:v>18,100/mo</x:v>
      </x:c>
      <x:c r="F94" s="65" t="str">
        <x:v>n/a (not returned by endpoint)</x:v>
      </x:c>
      <x:c r="G94" s="65" t="str">
        <x:v>73/100</x:v>
      </x:c>
      <x:c r="H94" s="65" t="str">
        <x:v>$4.32</x:v>
      </x:c>
      <x:c r="I94" s="65" t="str">
        <x:v>$2.74</x:v>
      </x:c>
      <x:c r="J94" s="65" t="str">
        <x:v>0.46 (medium)</x:v>
      </x:c>
      <x:c r="K94" s="65" t="str">
        <x:v>0.4 (medium)</x:v>
      </x:c>
      <x:c r="L94" s="65" t="str">
        <x:v>n/a (not returned by endpoint)</x:v>
      </x:c>
      <x:c r="M94" s="65" t="str">
        <x:v>n/a (not returned by endpoint)</x:v>
      </x:c>
    </x:row>
    <x:row r="95">
      <x:c r="A95" s="65" t="str">
        <x:v>vibe coding definition</x:v>
      </x:c>
      <x:c r="B95" s="65" t="str">
        <x:v>how does vibe coding work</x:v>
      </x:c>
      <x:c r="C95" s="65" t="str">
        <x:v>related</x:v>
      </x:c>
      <x:c r="D95" s="65" t="str">
        <x:v>2,900/mo</x:v>
      </x:c>
      <x:c r="E95" s="65" t="str">
        <x:v>110/mo</x:v>
      </x:c>
      <x:c r="F95" s="65" t="str">
        <x:v>n/a (not returned by endpoint)</x:v>
      </x:c>
      <x:c r="G95" s="65" t="str">
        <x:v>0/100</x:v>
      </x:c>
      <x:c r="H95" s="65" t="str">
        <x:v>$1.07</x:v>
      </x:c>
      <x:c r="I95" s="65" t="str">
        <x:v>$0.45</x:v>
      </x:c>
      <x:c r="J95" s="65" t="str">
        <x:v>0.21 (low)</x:v>
      </x:c>
      <x:c r="K95" s="65" t="str">
        <x:v>0.08 (low)</x:v>
      </x:c>
      <x:c r="L95" s="65" t="str">
        <x:v>n/a (not returned by endpoint)</x:v>
      </x:c>
      <x:c r="M95" s="65" t="str">
        <x:v>n/a (not returned by endpoint)</x:v>
      </x:c>
    </x:row>
    <x:row r="96">
      <x:c r="A96" s="65" t="str">
        <x:v>vibe coding meaning</x:v>
      </x:c>
      <x:c r="B96" s="65" t="str">
        <x:v>how does vibe coding work</x:v>
      </x:c>
      <x:c r="C96" s="65" t="str">
        <x:v>related</x:v>
      </x:c>
      <x:c r="D96" s="65" t="str">
        <x:v>12,100/mo</x:v>
      </x:c>
      <x:c r="E96" s="65" t="str">
        <x:v>1,900/mo</x:v>
      </x:c>
      <x:c r="F96" s="65" t="str">
        <x:v>n/a (not returned by endpoint)</x:v>
      </x:c>
      <x:c r="G96" s="65" t="str">
        <x:v>64/100</x:v>
      </x:c>
      <x:c r="H96" s="65" t="str">
        <x:v>$0.89</x:v>
      </x:c>
      <x:c r="I96" s="65" t="str">
        <x:v>$0.94</x:v>
      </x:c>
      <x:c r="J96" s="65" t="str">
        <x:v>0.19 (low)</x:v>
      </x:c>
      <x:c r="K96" s="65" t="str">
        <x:v>0.09 (low)</x:v>
      </x:c>
      <x:c r="L96" s="65" t="str">
        <x:v>n/a (not returned by endpoint)</x:v>
      </x:c>
      <x:c r="M96" s="65" t="str">
        <x:v>n/a (not returned by endpoint)</x:v>
      </x:c>
    </x:row>
    <x:row r="97">
      <x:c r="A97" s="65" t="str">
        <x:v>vibe-coding</x:v>
      </x:c>
      <x:c r="B97" s="65" t="str">
        <x:v>vibe coding for beginners; how does vibe coding work</x:v>
      </x:c>
      <x:c r="C97" s="65" t="str">
        <x:v>related</x:v>
      </x:c>
      <x:c r="D97" s="65" t="str">
        <x:v>2,900/mo</x:v>
      </x:c>
      <x:c r="E97" s="65" t="str">
        <x:v>140/mo</x:v>
      </x:c>
      <x:c r="F97" s="65" t="str">
        <x:v>n/a (not returned by endpoint)</x:v>
      </x:c>
      <x:c r="G97" s="65" t="str">
        <x:v>82/100</x:v>
      </x:c>
      <x:c r="H97" s="65" t="str">
        <x:v>$4.32</x:v>
      </x:c>
      <x:c r="I97" s="65" t="str">
        <x:v>$2.74</x:v>
      </x:c>
      <x:c r="J97" s="65" t="str">
        <x:v>0.46 (medium)</x:v>
      </x:c>
      <x:c r="K97" s="65" t="str">
        <x:v>0.4 (medium)</x:v>
      </x:c>
      <x:c r="L97" s="65" t="str">
        <x:v>n/a (not returned by endpoint)</x:v>
      </x:c>
      <x:c r="M97" s="65" t="str">
        <x:v>n/a (not returned by endpoint)</x:v>
      </x:c>
    </x:row>
    <x:row r="98">
      <x:c r="A98" s="65" t="str">
        <x:v>vibecode</x:v>
      </x:c>
      <x:c r="B98" s="65" t="str">
        <x:v>vibe coding for beginners; how does vibe coding work</x:v>
      </x:c>
      <x:c r="C98" s="65" t="str">
        <x:v>related</x:v>
      </x:c>
      <x:c r="D98" s="65" t="str">
        <x:v>18,100/mo</x:v>
      </x:c>
      <x:c r="E98" s="65" t="str">
        <x:v>1,300/mo</x:v>
      </x:c>
      <x:c r="F98" s="65" t="str">
        <x:v>n/a (not returned by endpoint)</x:v>
      </x:c>
      <x:c r="G98" s="65" t="str">
        <x:v>57/100</x:v>
      </x:c>
      <x:c r="H98" s="65" t="str">
        <x:v>$4.32</x:v>
      </x:c>
      <x:c r="I98" s="65" t="str">
        <x:v>$2.74</x:v>
      </x:c>
      <x:c r="J98" s="65" t="str">
        <x:v>0.46 (medium)</x:v>
      </x:c>
      <x:c r="K98" s="65" t="str">
        <x:v>0.4 (medium)</x:v>
      </x:c>
      <x:c r="L98" s="65" t="str">
        <x:v>n/a (not returned by endpoint)</x:v>
      </x:c>
      <x:c r="M98" s="65" t="str">
        <x:v>n/a (not returned by endpoint)</x:v>
      </x:c>
    </x:row>
    <x:row r="99">
      <x:c r="A99" s="65" t="str">
        <x:v>vibecoding</x:v>
      </x:c>
      <x:c r="B99" s="65" t="str">
        <x:v>vibe coding for beginners; how does vibe coding work</x:v>
      </x:c>
      <x:c r="C99" s="65" t="str">
        <x:v>related</x:v>
      </x:c>
      <x:c r="D99" s="65" t="str">
        <x:v>5,400/mo</x:v>
      </x:c>
      <x:c r="E99" s="65" t="str">
        <x:v>880/mo</x:v>
      </x:c>
      <x:c r="F99" s="65" t="str">
        <x:v>n/a (not returned by endpoint)</x:v>
      </x:c>
      <x:c r="G99" s="65" t="str">
        <x:v>72/100</x:v>
      </x:c>
      <x:c r="H99" s="65" t="str">
        <x:v>$4.32</x:v>
      </x:c>
      <x:c r="I99" s="65" t="str">
        <x:v>$2.74</x:v>
      </x:c>
      <x:c r="J99" s="65" t="str">
        <x:v>0.46 (medium)</x:v>
      </x:c>
      <x:c r="K99" s="65" t="str">
        <x:v>0.4 (medium)</x:v>
      </x:c>
      <x:c r="L99" s="65" t="str">
        <x:v>n/a (not returned by endpoint)</x:v>
      </x:c>
      <x:c r="M99" s="65" t="str">
        <x:v>n/a (not returned by endpoint)</x:v>
      </x:c>
    </x:row>
    <x:row r="100">
      <x:c r="A100" s="65" t="str">
        <x:v>vide coding</x:v>
      </x:c>
      <x:c r="B100" s="65" t="str">
        <x:v>vibe coding for beginners</x:v>
      </x:c>
      <x:c r="C100" s="65" t="str">
        <x:v>related</x:v>
      </x:c>
      <x:c r="D100" s="65" t="str">
        <x:v>1,300/mo</x:v>
      </x:c>
      <x:c r="E100" s="65" t="str">
        <x:v>320/mo</x:v>
      </x:c>
      <x:c r="F100" s="65" t="str">
        <x:v>n/a (not returned by endpoint)</x:v>
      </x:c>
      <x:c r="G100" s="65" t="str">
        <x:v>61/100</x:v>
      </x:c>
      <x:c r="H100" s="65" t="str">
        <x:v>$3.87</x:v>
      </x:c>
      <x:c r="I100" s="65" t="str">
        <x:v>$2.74</x:v>
      </x:c>
      <x:c r="J100" s="65" t="str">
        <x:v>0.04 (low)</x:v>
      </x:c>
      <x:c r="K100" s="65" t="str">
        <x:v>0.4 (medium)</x:v>
      </x:c>
      <x:c r="L100" s="65" t="str">
        <x:v>n/a (not returned by endpoint)</x:v>
      </x:c>
      <x:c r="M100" s="65" t="str">
        <x:v>n/a (not returned by endpoint)</x:v>
      </x:c>
    </x:row>
    <x:row r="101">
      <x:c r="A101" s="65" t="str">
        <x:v>webhook api</x:v>
      </x:c>
      <x:c r="B101" s="65" t="str">
        <x:v>webhooks vs api</x:v>
      </x:c>
      <x:c r="C101" s="65" t="str">
        <x:v>related</x:v>
      </x:c>
      <x:c r="D101" s="65" t="str">
        <x:v>210/mo</x:v>
      </x:c>
      <x:c r="E101" s="65" t="str">
        <x:v>20/mo</x:v>
      </x:c>
      <x:c r="F101" s="65" t="str">
        <x:v>n/a (not returned by endpoint)</x:v>
      </x:c>
      <x:c r="G101" s="65" t="str">
        <x:v>0/100</x:v>
      </x:c>
      <x:c r="H101" s="65" t="str">
        <x:v>$3.2</x:v>
      </x:c>
      <x:c r="I101" s="65" t="str">
        <x:v>$11.46</x:v>
      </x:c>
      <x:c r="J101" s="65" t="str">
        <x:v>0.16 (low)</x:v>
      </x:c>
      <x:c r="K101" s="65" t="str">
        <x:v>0.33 (medium)</x:v>
      </x:c>
      <x:c r="L101" s="65" t="str">
        <x:v>n/a (not returned by endpoint)</x:v>
      </x:c>
      <x:c r="M101" s="65" t="str">
        <x:v>n/a (not returned by endpoint)</x:v>
      </x:c>
    </x:row>
    <x:row r="102">
      <x:c r="A102" s="65" t="str">
        <x:v>webhook vs api</x:v>
      </x:c>
      <x:c r="B102" s="65" t="str">
        <x:v>webhooks vs api</x:v>
      </x:c>
      <x:c r="C102" s="65" t="str">
        <x:v>related</x:v>
      </x:c>
      <x:c r="D102" s="65" t="str">
        <x:v>1,300/mo</x:v>
      </x:c>
      <x:c r="E102" s="65" t="str">
        <x:v>170/mo</x:v>
      </x:c>
      <x:c r="F102" s="65" t="str">
        <x:v>n/a (not returned by endpoint)</x:v>
      </x:c>
      <x:c r="G102" s="65" t="str">
        <x:v>31/100</x:v>
      </x:c>
      <x:c r="H102" s="65" t="str">
        <x:v>$0.29</x:v>
      </x:c>
      <x:c r="I102" s="65" t="str">
        <x:v>$0.2</x:v>
      </x:c>
      <x:c r="J102" s="65" t="str">
        <x:v>0.12 (low)</x:v>
      </x:c>
      <x:c r="K102" s="65" t="str">
        <x:v>0.07 (low)</x:v>
      </x:c>
      <x:c r="L102" s="65" t="str">
        <x:v>n/a (not returned by endpoint)</x:v>
      </x:c>
      <x:c r="M102" s="65" t="str">
        <x:v>n/a (not returned by endpoint)</x:v>
      </x:c>
    </x:row>
    <x:row r="103">
      <x:c r="A103" s="65" t="str">
        <x:v>webhook vs websocket</x:v>
      </x:c>
      <x:c r="B103" s="65" t="str">
        <x:v>webhooks vs api</x:v>
      </x:c>
      <x:c r="C103" s="65" t="str">
        <x:v>related</x:v>
      </x:c>
      <x:c r="D103" s="65" t="str">
        <x:v>260/mo</x:v>
      </x:c>
      <x:c r="E103" s="65" t="str">
        <x:v>30/mo</x:v>
      </x:c>
      <x:c r="F103" s="65" t="str">
        <x:v>n/a (not returned by endpoint)</x:v>
      </x:c>
      <x:c r="G103" s="65" t="str">
        <x:v>0/100</x:v>
      </x:c>
      <x:c r="H103" s="65" t="str">
        <x:v>$0</x:v>
      </x:c>
      <x:c r="I103" s="65" t="str">
        <x:v>$0</x:v>
      </x:c>
      <x:c r="J103" s="65" t="str">
        <x:v>0.33 (medium)</x:v>
      </x:c>
      <x:c r="K103" s="65" t="str">
        <x:v>0.33 (medium)</x:v>
      </x:c>
      <x:c r="L103" s="65" t="str">
        <x:v>n/a (not returned by endpoint)</x:v>
      </x:c>
      <x:c r="M103" s="65" t="str">
        <x:v>n/a (not returned by endpoint)</x:v>
      </x:c>
    </x:row>
    <x:row r="104">
      <x:c r="A104" s="65" t="str">
        <x:v>webhooks vs websockets</x:v>
      </x:c>
      <x:c r="B104" s="65" t="str">
        <x:v>webhooks vs api</x:v>
      </x:c>
      <x:c r="C104" s="65" t="str">
        <x:v>related</x:v>
      </x:c>
      <x:c r="D104" s="65" t="str">
        <x:v>210/mo</x:v>
      </x:c>
      <x:c r="E104" s="65" t="str">
        <x:v>30/mo</x:v>
      </x:c>
      <x:c r="F104" s="65" t="str">
        <x:v>n/a (not returned by endpoint)</x:v>
      </x:c>
      <x:c r="G104" s="65" t="str">
        <x:v>0/100</x:v>
      </x:c>
      <x:c r="H104" s="65" t="str">
        <x:v>$0</x:v>
      </x:c>
      <x:c r="I104" s="65" t="str">
        <x:v>$0</x:v>
      </x:c>
      <x:c r="J104" s="65" t="str">
        <x:v>0.33 (medium)</x:v>
      </x:c>
      <x:c r="K104" s="65" t="str">
        <x:v>0.33 (medium)</x:v>
      </x:c>
      <x:c r="L104" s="65" t="str">
        <x:v>n/a (not returned by endpoint)</x:v>
      </x:c>
      <x:c r="M104" s="65" t="str">
        <x:v>n/a (not returned by endpoint)</x:v>
      </x:c>
    </x:row>
    <x:row r="105">
      <x:c r="A105" s="65" t="str">
        <x:v>websocket api</x:v>
      </x:c>
      <x:c r="B105" s="65" t="str">
        <x:v>webhooks vs api</x:v>
      </x:c>
      <x:c r="C105" s="65" t="str">
        <x:v>related</x:v>
      </x:c>
      <x:c r="D105" s="65" t="str">
        <x:v>480/mo</x:v>
      </x:c>
      <x:c r="E105" s="65" t="str">
        <x:v>90/mo</x:v>
      </x:c>
      <x:c r="F105" s="65" t="str">
        <x:v>n/a (not returned by endpoint)</x:v>
      </x:c>
      <x:c r="G105" s="65" t="str">
        <x:v>75/100</x:v>
      </x:c>
      <x:c r="H105" s="65" t="str">
        <x:v>$7.53</x:v>
      </x:c>
      <x:c r="I105" s="65" t="str">
        <x:v>$9.17</x:v>
      </x:c>
      <x:c r="J105" s="65" t="str">
        <x:v>0.04 (low)</x:v>
      </x:c>
      <x:c r="K105" s="65" t="str">
        <x:v>0.04 (low)</x:v>
      </x:c>
      <x:c r="L105" s="65" t="str">
        <x:v>n/a (not returned by endpoint)</x:v>
      </x:c>
      <x:c r="M105" s="65" t="str">
        <x:v>n/a (not returned by endpoint)</x:v>
      </x:c>
    </x:row>
    <x:row r="106">
      <x:c r="A106" s="65" t="str">
        <x:v>websocket vs webhook</x:v>
      </x:c>
      <x:c r="B106" s="65" t="str">
        <x:v>webhooks vs api</x:v>
      </x:c>
      <x:c r="C106" s="65" t="str">
        <x:v>related</x:v>
      </x:c>
      <x:c r="D106" s="65" t="str">
        <x:v>170/mo</x:v>
      </x:c>
      <x:c r="E106" s="65" t="str">
        <x:v>20/mo</x:v>
      </x:c>
      <x:c r="F106" s="65" t="str">
        <x:v>n/a (not returned by endpoint)</x:v>
      </x:c>
      <x:c r="G106" s="65" t="str">
        <x:v>0/100</x:v>
      </x:c>
      <x:c r="H106" s="65" t="str">
        <x:v>$0</x:v>
      </x:c>
      <x:c r="I106" s="65" t="str">
        <x:v>$0</x:v>
      </x:c>
      <x:c r="J106" s="65" t="str">
        <x:v>0.33 (medium)</x:v>
      </x:c>
      <x:c r="K106" s="65" t="str">
        <x:v>0.33 (medium)</x:v>
      </x:c>
      <x:c r="L106" s="65" t="str">
        <x:v>n/a (not returned by endpoint)</x:v>
      </x:c>
      <x:c r="M106" s="65" t="str">
        <x:v>n/a (not returned by endpoint)</x:v>
      </x:c>
    </x:row>
    <x:row r="107">
      <x:c r="A107" s="65" t="str">
        <x:v>what application are used for creating icons or logos</x:v>
      </x:c>
      <x:c r="B107" s="65" t="str">
        <x:v>what are application logs</x:v>
      </x:c>
      <x:c r="C107" s="65" t="str">
        <x:v>question</x:v>
      </x:c>
      <x:c r="D107" s="65" t="str">
        <x:v>0/mo</x:v>
      </x:c>
      <x:c r="E107" s="65" t="str">
        <x:v>n/a (no row returned)</x:v>
      </x:c>
      <x:c r="F107" s="65" t="str">
        <x:v>n/a (not returned by endpoint)</x:v>
      </x:c>
      <x:c r="G107" s="65" t="str">
        <x:v>n/a (no row returned)</x:v>
      </x:c>
      <x:c r="H107" s="65" t="str">
        <x:v>$0</x:v>
      </x:c>
      <x:c r="I107" s="65" t="str">
        <x:v>n/a (no row returned)</x:v>
      </x:c>
      <x:c r="J107" s="65" t="str">
        <x:v>0 (low)</x:v>
      </x:c>
      <x:c r="K107" s="65" t="str">
        <x:v>n/a (no row returned)</x:v>
      </x:c>
      <x:c r="L107" s="65" t="str">
        <x:v>n/a (not returned by endpoint)</x:v>
      </x:c>
      <x:c r="M107" s="65" t="str">
        <x:v>n/a (not returned by endpoint)</x:v>
      </x:c>
    </x:row>
    <x:row r="108">
      <x:c r="A108" s="65" t="str">
        <x:v>what are apis</x:v>
      </x:c>
      <x:c r="B108" s="65" t="str">
        <x:v>how does an api work; what is an api and how does it work</x:v>
      </x:c>
      <x:c r="C108" s="65" t="str">
        <x:v>related</x:v>
      </x:c>
      <x:c r="D108" s="65" t="str">
        <x:v>9,900/mo</x:v>
      </x:c>
      <x:c r="E108" s="65" t="str">
        <x:v>2,400/mo</x:v>
      </x:c>
      <x:c r="F108" s="65" t="str">
        <x:v>n/a (not returned by endpoint)</x:v>
      </x:c>
      <x:c r="G108" s="65" t="str">
        <x:v>71/100</x:v>
      </x:c>
      <x:c r="H108" s="65" t="str">
        <x:v>$1.22</x:v>
      </x:c>
      <x:c r="I108" s="65" t="str">
        <x:v>$1.12</x:v>
      </x:c>
      <x:c r="J108" s="65" t="str">
        <x:v>0.04 (low)</x:v>
      </x:c>
      <x:c r="K108" s="65" t="str">
        <x:v>0.02 (low)</x:v>
      </x:c>
      <x:c r="L108" s="65" t="str">
        <x:v>n/a (not returned by endpoint)</x:v>
      </x:c>
      <x:c r="M108" s="65" t="str">
        <x:v>n/a (not returned by endpoint)</x:v>
      </x:c>
    </x:row>
    <x:row r="109">
      <x:c r="A109" s="65" t="str">
        <x:v>what are application logs examples</x:v>
      </x:c>
      <x:c r="B109" s="65" t="str">
        <x:v>what are application logs</x:v>
      </x:c>
      <x:c r="C109" s="65" t="str">
        <x:v>question</x:v>
      </x:c>
      <x:c r="D109" s="65" t="str">
        <x:v>0/mo</x:v>
      </x:c>
      <x:c r="E109" s="65" t="str">
        <x:v>0/mo</x:v>
      </x:c>
      <x:c r="F109" s="65" t="str">
        <x:v>n/a (not returned by endpoint)</x:v>
      </x:c>
      <x:c r="G109" s="65" t="str">
        <x:v>0/100</x:v>
      </x:c>
      <x:c r="H109" s="65" t="str">
        <x:v>$0</x:v>
      </x:c>
      <x:c r="I109" s="65" t="str">
        <x:v>$0</x:v>
      </x:c>
      <x:c r="J109" s="65" t="str">
        <x:v>0 (low)</x:v>
      </x:c>
      <x:c r="K109" s="65" t="str">
        <x:v>0 (low)</x:v>
      </x:c>
      <x:c r="L109" s="65" t="str">
        <x:v>n/a (not returned by endpoint)</x:v>
      </x:c>
      <x:c r="M109" s="65" t="str">
        <x:v>n/a (not returned by endpoint)</x:v>
      </x:c>
    </x:row>
    <x:row r="110">
      <x:c r="A110" s="65" t="str">
        <x:v>what are application logs in sap</x:v>
      </x:c>
      <x:c r="B110" s="65" t="str">
        <x:v>what are application logs</x:v>
      </x:c>
      <x:c r="C110" s="65" t="str">
        <x:v>question</x:v>
      </x:c>
      <x:c r="D110" s="65" t="str">
        <x:v>0/mo</x:v>
      </x:c>
      <x:c r="E110" s="65" t="str">
        <x:v>n/a (no row returned)</x:v>
      </x:c>
      <x:c r="F110" s="65" t="str">
        <x:v>n/a (not returned by endpoint)</x:v>
      </x:c>
      <x:c r="G110" s="65" t="str">
        <x:v>n/a (no row returned)</x:v>
      </x:c>
      <x:c r="H110" s="65" t="str">
        <x:v>$0</x:v>
      </x:c>
      <x:c r="I110" s="65" t="str">
        <x:v>n/a (no row returned)</x:v>
      </x:c>
      <x:c r="J110" s="65" t="str">
        <x:v>0 (low)</x:v>
      </x:c>
      <x:c r="K110" s="65" t="str">
        <x:v>n/a (no row returned)</x:v>
      </x:c>
      <x:c r="L110" s="65" t="str">
        <x:v>n/a (not returned by endpoint)</x:v>
      </x:c>
      <x:c r="M110" s="65" t="str">
        <x:v>n/a (not returned by endpoint)</x:v>
      </x:c>
    </x:row>
    <x:row r="111">
      <x:c r="A111" s="65" t="str">
        <x:v>what are application logs vs infrastructure logs</x:v>
      </x:c>
      <x:c r="B111" s="65" t="str">
        <x:v>what are application logs</x:v>
      </x:c>
      <x:c r="C111" s="65" t="str">
        <x:v>question</x:v>
      </x:c>
      <x:c r="D111" s="65" t="str">
        <x:v>0/mo</x:v>
      </x:c>
      <x:c r="E111" s="65" t="str">
        <x:v>n/a (no row returned)</x:v>
      </x:c>
      <x:c r="F111" s="65" t="str">
        <x:v>n/a (not returned by endpoint)</x:v>
      </x:c>
      <x:c r="G111" s="65" t="str">
        <x:v>n/a (no row returned)</x:v>
      </x:c>
      <x:c r="H111" s="65" t="str">
        <x:v>$0</x:v>
      </x:c>
      <x:c r="I111" s="65" t="str">
        <x:v>n/a (no row returned)</x:v>
      </x:c>
      <x:c r="J111" s="65" t="str">
        <x:v>0 (low)</x:v>
      </x:c>
      <x:c r="K111" s="65" t="str">
        <x:v>n/a (no row returned)</x:v>
      </x:c>
      <x:c r="L111" s="65" t="str">
        <x:v>n/a (not returned by endpoint)</x:v>
      </x:c>
      <x:c r="M111" s="65" t="str">
        <x:v>n/a (not returned by endpoint)</x:v>
      </x:c>
    </x:row>
    <x:row r="112">
      <x:c r="A112" s="65" t="str">
        <x:v>what are logs natural logs and applications</x:v>
      </x:c>
      <x:c r="B112" s="65" t="str">
        <x:v>what are application logs</x:v>
      </x:c>
      <x:c r="C112" s="65" t="str">
        <x:v>question</x:v>
      </x:c>
      <x:c r="D112" s="65" t="str">
        <x:v>0/mo</x:v>
      </x:c>
      <x:c r="E112" s="65" t="str">
        <x:v>n/a (no row returned)</x:v>
      </x:c>
      <x:c r="F112" s="65" t="str">
        <x:v>n/a (not returned by endpoint)</x:v>
      </x:c>
      <x:c r="G112" s="65" t="str">
        <x:v>n/a (no row returned)</x:v>
      </x:c>
      <x:c r="H112" s="65" t="str">
        <x:v>$0</x:v>
      </x:c>
      <x:c r="I112" s="65" t="str">
        <x:v>n/a (no row returned)</x:v>
      </x:c>
      <x:c r="J112" s="65" t="str">
        <x:v>0 (low)</x:v>
      </x:c>
      <x:c r="K112" s="65" t="str">
        <x:v>n/a (no row returned)</x:v>
      </x:c>
      <x:c r="L112" s="65" t="str">
        <x:v>n/a (not returned by endpoint)</x:v>
      </x:c>
      <x:c r="M112" s="65" t="str">
        <x:v>n/a (not returned by endpoint)</x:v>
      </x:c>
    </x:row>
    <x:row r="113">
      <x:c r="A113" s="65" t="str">
        <x:v>what are some examples of mac keystroke logging applications</x:v>
      </x:c>
      <x:c r="B113" s="65" t="str">
        <x:v>what are application logs</x:v>
      </x:c>
      <x:c r="C113" s="65" t="str">
        <x:v>question</x:v>
      </x:c>
      <x:c r="D113" s="65" t="str">
        <x:v>0/mo</x:v>
      </x:c>
      <x:c r="E113" s="65" t="str">
        <x:v>n/a (no row returned)</x:v>
      </x:c>
      <x:c r="F113" s="65" t="str">
        <x:v>n/a (not returned by endpoint)</x:v>
      </x:c>
      <x:c r="G113" s="65" t="str">
        <x:v>n/a (no row returned)</x:v>
      </x:c>
      <x:c r="H113" s="65" t="str">
        <x:v>$0</x:v>
      </x:c>
      <x:c r="I113" s="65" t="str">
        <x:v>n/a (no row returned)</x:v>
      </x:c>
      <x:c r="J113" s="65" t="str">
        <x:v>0 (low)</x:v>
      </x:c>
      <x:c r="K113" s="65" t="str">
        <x:v>n/a (no row returned)</x:v>
      </x:c>
      <x:c r="L113" s="65" t="str">
        <x:v>n/a (not returned by endpoint)</x:v>
      </x:c>
      <x:c r="M113" s="65" t="str">
        <x:v>n/a (not returned by endpoint)</x:v>
      </x:c>
    </x:row>
    <x:row r="114">
      <x:c r="A114" s="65" t="str">
        <x:v>what are the applications of log amplifier</x:v>
      </x:c>
      <x:c r="B114" s="65" t="str">
        <x:v>what are application logs</x:v>
      </x:c>
      <x:c r="C114" s="65" t="str">
        <x:v>question</x:v>
      </x:c>
      <x:c r="D114" s="65" t="str">
        <x:v>0/mo</x:v>
      </x:c>
      <x:c r="E114" s="65" t="str">
        <x:v>n/a (no row returned)</x:v>
      </x:c>
      <x:c r="F114" s="65" t="str">
        <x:v>n/a (not returned by endpoint)</x:v>
      </x:c>
      <x:c r="G114" s="65" t="str">
        <x:v>n/a (no row returned)</x:v>
      </x:c>
      <x:c r="H114" s="65" t="str">
        <x:v>$0</x:v>
      </x:c>
      <x:c r="I114" s="65" t="str">
        <x:v>n/a (no row returned)</x:v>
      </x:c>
      <x:c r="J114" s="65" t="str">
        <x:v>0 (low)</x:v>
      </x:c>
      <x:c r="K114" s="65" t="str">
        <x:v>n/a (no row returned)</x:v>
      </x:c>
      <x:c r="L114" s="65" t="str">
        <x:v>n/a (not returned by endpoint)</x:v>
      </x:c>
      <x:c r="M114" s="65" t="str">
        <x:v>n/a (not returned by endpoint)</x:v>
      </x:c>
    </x:row>
    <x:row r="115">
      <x:c r="A115" s="65" t="str">
        <x:v>what are the frontend and backend components of a database</x:v>
      </x:c>
      <x:c r="B115" s="65" t="str">
        <x:v>frontend backend database</x:v>
      </x:c>
      <x:c r="C115" s="65" t="str">
        <x:v>question</x:v>
      </x:c>
      <x:c r="D115" s="65" t="str">
        <x:v>0/mo</x:v>
      </x:c>
      <x:c r="E115" s="65" t="str">
        <x:v>0/mo</x:v>
      </x:c>
      <x:c r="F115" s="65" t="str">
        <x:v>n/a (not returned by endpoint)</x:v>
      </x:c>
      <x:c r="G115" s="65" t="str">
        <x:v>0/100</x:v>
      </x:c>
      <x:c r="H115" s="65" t="str">
        <x:v>$0</x:v>
      </x:c>
      <x:c r="I115" s="65" t="str">
        <x:v>$0</x:v>
      </x:c>
      <x:c r="J115" s="65" t="str">
        <x:v>0 (low)</x:v>
      </x:c>
      <x:c r="K115" s="65" t="str">
        <x:v>0 (low)</x:v>
      </x:c>
      <x:c r="L115" s="65" t="str">
        <x:v>n/a (not returned by endpoint)</x:v>
      </x:c>
      <x:c r="M115" s="65" t="str">
        <x:v>n/a (not returned by endpoint)</x:v>
      </x:c>
    </x:row>
    <x:row r="116">
      <x:c r="A116" s="65" t="str">
        <x:v>what are the practical applications of hydraulic log splitters</x:v>
      </x:c>
      <x:c r="B116" s="65" t="str">
        <x:v>what are application logs</x:v>
      </x:c>
      <x:c r="C116" s="65" t="str">
        <x:v>question</x:v>
      </x:c>
      <x:c r="D116" s="65" t="str">
        <x:v>0/mo</x:v>
      </x:c>
      <x:c r="E116" s="65" t="str">
        <x:v>0/mo</x:v>
      </x:c>
      <x:c r="F116" s="65" t="str">
        <x:v>n/a (not returned by endpoint)</x:v>
      </x:c>
      <x:c r="G116" s="65" t="str">
        <x:v>0/100</x:v>
      </x:c>
      <x:c r="H116" s="65" t="str">
        <x:v>$0</x:v>
      </x:c>
      <x:c r="I116" s="65" t="str">
        <x:v>$0</x:v>
      </x:c>
      <x:c r="J116" s="65" t="str">
        <x:v>0 (low)</x:v>
      </x:c>
      <x:c r="K116" s="65" t="str">
        <x:v>0 (low)</x:v>
      </x:c>
      <x:c r="L116" s="65" t="str">
        <x:v>n/a (not returned by endpoint)</x:v>
      </x:c>
      <x:c r="M116" s="65" t="str">
        <x:v>n/a (not returned by endpoint)</x:v>
      </x:c>
    </x:row>
    <x:row r="117">
      <x:c r="A117" s="65" t="str">
        <x:v>what are webhooks</x:v>
      </x:c>
      <x:c r="B117" s="65" t="str">
        <x:v>webhooks vs api</x:v>
      </x:c>
      <x:c r="C117" s="65" t="str">
        <x:v>related</x:v>
      </x:c>
      <x:c r="D117" s="65" t="str">
        <x:v>2,400/mo</x:v>
      </x:c>
      <x:c r="E117" s="65" t="str">
        <x:v>590/mo</x:v>
      </x:c>
      <x:c r="F117" s="65" t="str">
        <x:v>n/a (not returned by endpoint)</x:v>
      </x:c>
      <x:c r="G117" s="65" t="str">
        <x:v>41/100</x:v>
      </x:c>
      <x:c r="H117" s="65" t="str">
        <x:v>$0.45</x:v>
      </x:c>
      <x:c r="I117" s="65" t="str">
        <x:v>$0.25</x:v>
      </x:c>
      <x:c r="J117" s="65" t="str">
        <x:v>0.25 (low)</x:v>
      </x:c>
      <x:c r="K117" s="65" t="str">
        <x:v>0.12 (low)</x:v>
      </x:c>
      <x:c r="L117" s="65" t="str">
        <x:v>n/a (not returned by endpoint)</x:v>
      </x:c>
      <x:c r="M117" s="65" t="str">
        <x:v>n/a (not returned by endpoint)</x:v>
      </x:c>
    </x:row>
    <x:row r="118">
      <x:c r="A118" s="65" t="str">
        <x:v>what are webhooks explained simply</x:v>
      </x:c>
      <x:c r="B118" s="65" t="str">
        <x:v>webhook explained simply</x:v>
      </x:c>
      <x:c r="C118" s="65" t="str">
        <x:v>question</x:v>
      </x:c>
      <x:c r="D118" s="65" t="str">
        <x:v>0/mo</x:v>
      </x:c>
      <x:c r="E118" s="65" t="str">
        <x:v>0/mo</x:v>
      </x:c>
      <x:c r="F118" s="65" t="str">
        <x:v>n/a (not returned by endpoint)</x:v>
      </x:c>
      <x:c r="G118" s="65" t="str">
        <x:v>0/100</x:v>
      </x:c>
      <x:c r="H118" s="65" t="str">
        <x:v>$0</x:v>
      </x:c>
      <x:c r="I118" s="65" t="str">
        <x:v>$0</x:v>
      </x:c>
      <x:c r="J118" s="65" t="str">
        <x:v>0 (low)</x:v>
      </x:c>
      <x:c r="K118" s="65" t="str">
        <x:v>0 (low)</x:v>
      </x:c>
      <x:c r="L118" s="65" t="str">
        <x:v>n/a (not returned by endpoint)</x:v>
      </x:c>
      <x:c r="M118" s="65" t="str">
        <x:v>n/a (not returned by endpoint)</x:v>
      </x:c>
    </x:row>
    <x:row r="119">
      <x:c r="A119" s="65" t="str">
        <x:v>what are windows application logs</x:v>
      </x:c>
      <x:c r="B119" s="65" t="str">
        <x:v>what are application logs</x:v>
      </x:c>
      <x:c r="C119" s="65" t="str">
        <x:v>question</x:v>
      </x:c>
      <x:c r="D119" s="65" t="str">
        <x:v>0/mo</x:v>
      </x:c>
      <x:c r="E119" s="65" t="str">
        <x:v>n/a (no row returned)</x:v>
      </x:c>
      <x:c r="F119" s="65" t="str">
        <x:v>n/a (not returned by endpoint)</x:v>
      </x:c>
      <x:c r="G119" s="65" t="str">
        <x:v>n/a (no row returned)</x:v>
      </x:c>
      <x:c r="H119" s="65" t="str">
        <x:v>$0</x:v>
      </x:c>
      <x:c r="I119" s="65" t="str">
        <x:v>n/a (no row returned)</x:v>
      </x:c>
      <x:c r="J119" s="65" t="str">
        <x:v>0 (low)</x:v>
      </x:c>
      <x:c r="K119" s="65" t="str">
        <x:v>n/a (no row returned)</x:v>
      </x:c>
      <x:c r="L119" s="65" t="str">
        <x:v>n/a (not returned by endpoint)</x:v>
      </x:c>
      <x:c r="M119" s="65" t="str">
        <x:v>n/a (not returned by endpoint)</x:v>
      </x:c>
    </x:row>
    <x:row r="120">
      <x:c r="A120" s="65" t="str">
        <x:v>what belongs in frontend backend database middleware</x:v>
      </x:c>
      <x:c r="B120" s="65" t="str">
        <x:v>frontend backend database</x:v>
      </x:c>
      <x:c r="C120" s="65" t="str">
        <x:v>question</x:v>
      </x:c>
      <x:c r="D120" s="65" t="str">
        <x:v>0/mo</x:v>
      </x:c>
      <x:c r="E120" s="65" t="str">
        <x:v>n/a (no row returned)</x:v>
      </x:c>
      <x:c r="F120" s="65" t="str">
        <x:v>n/a (not returned by endpoint)</x:v>
      </x:c>
      <x:c r="G120" s="65" t="str">
        <x:v>n/a (no row returned)</x:v>
      </x:c>
      <x:c r="H120" s="65" t="str">
        <x:v>$0</x:v>
      </x:c>
      <x:c r="I120" s="65" t="str">
        <x:v>n/a (no row returned)</x:v>
      </x:c>
      <x:c r="J120" s="65" t="str">
        <x:v>0 (low)</x:v>
      </x:c>
      <x:c r="K120" s="65" t="str">
        <x:v>n/a (no row returned)</x:v>
      </x:c>
      <x:c r="L120" s="65" t="str">
        <x:v>n/a (not returned by endpoint)</x:v>
      </x:c>
      <x:c r="M120" s="65" t="str">
        <x:v>n/a (not returned by endpoint)</x:v>
      </x:c>
    </x:row>
    <x:row r="121">
      <x:c r="A121" s="65" t="str">
        <x:v>what does api stand for</x:v>
      </x:c>
      <x:c r="B121" s="65" t="str">
        <x:v>how does an api work; what is an api and how does it work</x:v>
      </x:c>
      <x:c r="C121" s="65" t="str">
        <x:v>related</x:v>
      </x:c>
      <x:c r="D121" s="65" t="str">
        <x:v>12,100/mo</x:v>
      </x:c>
      <x:c r="E121" s="65" t="str">
        <x:v>2,400/mo</x:v>
      </x:c>
      <x:c r="F121" s="65" t="str">
        <x:v>n/a (not returned by endpoint)</x:v>
      </x:c>
      <x:c r="G121" s="65" t="str">
        <x:v>65/100</x:v>
      </x:c>
      <x:c r="H121" s="65" t="str">
        <x:v>$0.35</x:v>
      </x:c>
      <x:c r="I121" s="65" t="str">
        <x:v>$0.92</x:v>
      </x:c>
      <x:c r="J121" s="65" t="str">
        <x:v>0.02 (low)</x:v>
      </x:c>
      <x:c r="K121" s="65" t="str">
        <x:v>0.01 (low)</x:v>
      </x:c>
      <x:c r="L121" s="65" t="str">
        <x:v>n/a (not returned by endpoint)</x:v>
      </x:c>
      <x:c r="M121" s="65" t="str">
        <x:v>n/a (not returned by endpoint)</x:v>
      </x:c>
    </x:row>
    <x:row r="122">
      <x:c r="A122" s="65" t="str">
        <x:v>what does mvp mean</x:v>
      </x:c>
      <x:c r="B122" s="65" t="str">
        <x:v>mvp vs prototype vs poc</x:v>
      </x:c>
      <x:c r="C122" s="65" t="str">
        <x:v>related</x:v>
      </x:c>
      <x:c r="D122" s="65" t="str">
        <x:v>5,400/mo</x:v>
      </x:c>
      <x:c r="E122" s="65" t="str">
        <x:v>2,400/mo</x:v>
      </x:c>
      <x:c r="F122" s="65" t="str">
        <x:v>n/a (not returned by endpoint)</x:v>
      </x:c>
      <x:c r="G122" s="65" t="str">
        <x:v>30/100</x:v>
      </x:c>
      <x:c r="H122" s="65" t="str">
        <x:v>$3.92</x:v>
      </x:c>
      <x:c r="I122" s="65" t="str">
        <x:v>$0</x:v>
      </x:c>
      <x:c r="J122" s="65" t="str">
        <x:v>0.33 (medium)</x:v>
      </x:c>
      <x:c r="K122" s="65" t="str">
        <x:v>0.33 (medium)</x:v>
      </x:c>
      <x:c r="L122" s="65" t="str">
        <x:v>n/a (not returned by endpoint)</x:v>
      </x:c>
      <x:c r="M122" s="65" t="str">
        <x:v>n/a (not returned by endpoint)</x:v>
      </x:c>
    </x:row>
    <x:row r="123">
      <x:c r="A123" s="65" t="str">
        <x:v>what is a webhook vs api</x:v>
      </x:c>
      <x:c r="B123" s="65" t="str">
        <x:v>webhooks vs api</x:v>
      </x:c>
      <x:c r="C123" s="65" t="str">
        <x:v>related + question</x:v>
      </x:c>
      <x:c r="D123" s="65" t="str">
        <x:v>2,900/mo</x:v>
      </x:c>
      <x:c r="E123" s="65" t="str">
        <x:v>6,600/mo</x:v>
      </x:c>
      <x:c r="F123" s="65" t="str">
        <x:v>n/a (not returned by endpoint)</x:v>
      </x:c>
      <x:c r="G123" s="65" t="str">
        <x:v>37/100</x:v>
      </x:c>
      <x:c r="H123" s="65" t="str">
        <x:v>$0.51</x:v>
      </x:c>
      <x:c r="I123" s="65" t="str">
        <x:v>$0</x:v>
      </x:c>
      <x:c r="J123" s="65" t="str">
        <x:v>0.05 (low)</x:v>
      </x:c>
      <x:c r="K123" s="65" t="str">
        <x:v>0.07 (low)</x:v>
      </x:c>
      <x:c r="L123" s="65" t="str">
        <x:v>n/a (not returned by endpoint)</x:v>
      </x:c>
      <x:c r="M123" s="65" t="str">
        <x:v>n/a (not returned by endpoint)</x:v>
      </x:c>
    </x:row>
    <x:row r="124">
      <x:c r="A124" s="65" t="str">
        <x:v>what is an api</x:v>
      </x:c>
      <x:c r="B124" s="65" t="str">
        <x:v>how does an api work; what is an api and how does it work</x:v>
      </x:c>
      <x:c r="C124" s="65" t="str">
        <x:v>related</x:v>
      </x:c>
      <x:c r="D124" s="65" t="str">
        <x:v>673,000/mo</x:v>
      </x:c>
      <x:c r="E124" s="65" t="str">
        <x:v>40,500/mo</x:v>
      </x:c>
      <x:c r="F124" s="65" t="str">
        <x:v>n/a (not returned by endpoint)</x:v>
      </x:c>
      <x:c r="G124" s="65" t="str">
        <x:v>70/100</x:v>
      </x:c>
      <x:c r="H124" s="65" t="str">
        <x:v>$0.6</x:v>
      </x:c>
      <x:c r="I124" s="65" t="str">
        <x:v>$1.21</x:v>
      </x:c>
      <x:c r="J124" s="65" t="str">
        <x:v>0.05 (low)</x:v>
      </x:c>
      <x:c r="K124" s="65" t="str">
        <x:v>0.02 (low)</x:v>
      </x:c>
      <x:c r="L124" s="65" t="str">
        <x:v>n/a (not returned by endpoint)</x:v>
      </x:c>
      <x:c r="M124" s="65" t="str">
        <x:v>n/a (not returned by endpoint)</x:v>
      </x:c>
    </x:row>
    <x:row r="125">
      <x:c r="A125" s="65" t="str">
        <x:v>what is an api and how does it work 2026</x:v>
      </x:c>
      <x:c r="B125" s="65" t="str">
        <x:v>what is an api and how does it work</x:v>
      </x:c>
      <x:c r="C125" s="65" t="str">
        <x:v>question</x:v>
      </x:c>
      <x:c r="D125" s="65" t="str">
        <x:v>0/mo</x:v>
      </x:c>
      <x:c r="E125" s="65" t="str">
        <x:v>n/a (no row returned)</x:v>
      </x:c>
      <x:c r="F125" s="65" t="str">
        <x:v>n/a (not returned by endpoint)</x:v>
      </x:c>
      <x:c r="G125" s="65" t="str">
        <x:v>n/a (no row returned)</x:v>
      </x:c>
      <x:c r="H125" s="65" t="str">
        <x:v>$0</x:v>
      </x:c>
      <x:c r="I125" s="65" t="str">
        <x:v>n/a (no row returned)</x:v>
      </x:c>
      <x:c r="J125" s="65" t="str">
        <x:v>0 (low)</x:v>
      </x:c>
      <x:c r="K125" s="65" t="str">
        <x:v>n/a (no row returned)</x:v>
      </x:c>
      <x:c r="L125" s="65" t="str">
        <x:v>n/a (not returned by endpoint)</x:v>
      </x:c>
      <x:c r="M125" s="65" t="str">
        <x:v>n/a (not returned by endpoint)</x:v>
      </x:c>
    </x:row>
    <x:row r="126">
      <x:c r="A126" s="65" t="str">
        <x:v>what is an api and how does it work today</x:v>
      </x:c>
      <x:c r="B126" s="65" t="str">
        <x:v>what is an api and how does it work</x:v>
      </x:c>
      <x:c r="C126" s="65" t="str">
        <x:v>question</x:v>
      </x:c>
      <x:c r="D126" s="65" t="str">
        <x:v>0/mo</x:v>
      </x:c>
      <x:c r="E126" s="65" t="str">
        <x:v>n/a (no row returned)</x:v>
      </x:c>
      <x:c r="F126" s="65" t="str">
        <x:v>n/a (not returned by endpoint)</x:v>
      </x:c>
      <x:c r="G126" s="65" t="str">
        <x:v>n/a (no row returned)</x:v>
      </x:c>
      <x:c r="H126" s="65" t="str">
        <x:v>$0</x:v>
      </x:c>
      <x:c r="I126" s="65" t="str">
        <x:v>n/a (no row returned)</x:v>
      </x:c>
      <x:c r="J126" s="65" t="str">
        <x:v>0 (low)</x:v>
      </x:c>
      <x:c r="K126" s="65" t="str">
        <x:v>n/a (no row returned)</x:v>
      </x:c>
      <x:c r="L126" s="65" t="str">
        <x:v>n/a (not returned by endpoint)</x:v>
      </x:c>
      <x:c r="M126" s="65" t="str">
        <x:v>n/a (not returned by endpoint)</x:v>
      </x:c>
    </x:row>
    <x:row r="127">
      <x:c r="A127" s="65" t="str">
        <x:v>what is an api explained simply</x:v>
      </x:c>
      <x:c r="B127" s="65" t="str">
        <x:v>api explained simply</x:v>
      </x:c>
      <x:c r="C127" s="65" t="str">
        <x:v>question</x:v>
      </x:c>
      <x:c r="D127" s="65" t="str">
        <x:v>10/mo</x:v>
      </x:c>
      <x:c r="E127" s="65" t="str">
        <x:v>0/mo</x:v>
      </x:c>
      <x:c r="F127" s="65" t="str">
        <x:v>n/a (not returned by endpoint)</x:v>
      </x:c>
      <x:c r="G127" s="65" t="str">
        <x:v>0/100</x:v>
      </x:c>
      <x:c r="H127" s="65" t="str">
        <x:v>$0</x:v>
      </x:c>
      <x:c r="I127" s="65" t="str">
        <x:v>$0</x:v>
      </x:c>
      <x:c r="J127" s="65" t="str">
        <x:v>0.22 (low)</x:v>
      </x:c>
      <x:c r="K127" s="65" t="str">
        <x:v>0 (low)</x:v>
      </x:c>
      <x:c r="L127" s="65" t="str">
        <x:v>n/a (not returned by endpoint)</x:v>
      </x:c>
      <x:c r="M127" s="65" t="str">
        <x:v>n/a (not returned by endpoint)</x:v>
      </x:c>
    </x:row>
    <x:row r="128">
      <x:c r="A128" s="65" t="str">
        <x:v>what is an api key and how does it work</x:v>
      </x:c>
      <x:c r="B128" s="65" t="str">
        <x:v>what is an api and how does it work</x:v>
      </x:c>
      <x:c r="C128" s="65" t="str">
        <x:v>question</x:v>
      </x:c>
      <x:c r="D128" s="65" t="str">
        <x:v>20/mo</x:v>
      </x:c>
      <x:c r="E128" s="65" t="str">
        <x:v>20/mo</x:v>
      </x:c>
      <x:c r="F128" s="65" t="str">
        <x:v>n/a (not returned by endpoint)</x:v>
      </x:c>
      <x:c r="G128" s="65" t="str">
        <x:v>0/100</x:v>
      </x:c>
      <x:c r="H128" s="65" t="str">
        <x:v>$2.18</x:v>
      </x:c>
      <x:c r="I128" s="65" t="str">
        <x:v>$0</x:v>
      </x:c>
      <x:c r="J128" s="65" t="str">
        <x:v>0.36 (medium)</x:v>
      </x:c>
      <x:c r="K128" s="65" t="str">
        <x:v>0.13 (low)</x:v>
      </x:c>
      <x:c r="L128" s="65" t="str">
        <x:v>n/a (not returned by endpoint)</x:v>
      </x:c>
      <x:c r="M128" s="65" t="str">
        <x:v>n/a (not returned by endpoint)</x:v>
      </x:c>
    </x:row>
    <x:row r="129">
      <x:c r="A129" s="65" t="str">
        <x:v>what is api</x:v>
      </x:c>
      <x:c r="B129" s="65" t="str">
        <x:v>how does an api work; what is an api and how does it work</x:v>
      </x:c>
      <x:c r="C129" s="65" t="str">
        <x:v>related</x:v>
      </x:c>
      <x:c r="D129" s="65" t="str">
        <x:v>27,100/mo</x:v>
      </x:c>
      <x:c r="E129" s="65" t="str">
        <x:v>4,400/mo</x:v>
      </x:c>
      <x:c r="F129" s="65" t="str">
        <x:v>n/a (not returned by endpoint)</x:v>
      </x:c>
      <x:c r="G129" s="65" t="str">
        <x:v>48/100</x:v>
      </x:c>
      <x:c r="H129" s="65" t="str">
        <x:v>$0.84</x:v>
      </x:c>
      <x:c r="I129" s="65" t="str">
        <x:v>$1.21</x:v>
      </x:c>
      <x:c r="J129" s="65" t="str">
        <x:v>0.03 (low)</x:v>
      </x:c>
      <x:c r="K129" s="65" t="str">
        <x:v>0.02 (low)</x:v>
      </x:c>
      <x:c r="L129" s="65" t="str">
        <x:v>n/a (not returned by endpoint)</x:v>
      </x:c>
      <x:c r="M129" s="65" t="str">
        <x:v>n/a (not returned by endpoint)</x:v>
      </x:c>
    </x:row>
    <x:row r="130">
      <x:c r="A130" s="65" t="str">
        <x:v>what is api integration</x:v>
      </x:c>
      <x:c r="B130" s="65" t="str">
        <x:v>how does api integration work</x:v>
      </x:c>
      <x:c r="C130" s="65" t="str">
        <x:v>related</x:v>
      </x:c>
      <x:c r="D130" s="65" t="str">
        <x:v>1,300/mo</x:v>
      </x:c>
      <x:c r="E130" s="65" t="str">
        <x:v>260/mo</x:v>
      </x:c>
      <x:c r="F130" s="65" t="str">
        <x:v>n/a (not returned by endpoint)</x:v>
      </x:c>
      <x:c r="G130" s="65" t="str">
        <x:v>39/100</x:v>
      </x:c>
      <x:c r="H130" s="65" t="str">
        <x:v>$1.14</x:v>
      </x:c>
      <x:c r="I130" s="65" t="str">
        <x:v>$1.59</x:v>
      </x:c>
      <x:c r="J130" s="65" t="str">
        <x:v>0.07 (low)</x:v>
      </x:c>
      <x:c r="K130" s="65" t="str">
        <x:v>0.03 (low)</x:v>
      </x:c>
      <x:c r="L130" s="65" t="str">
        <x:v>n/a (not returned by endpoint)</x:v>
      </x:c>
      <x:c r="M130" s="65" t="str">
        <x:v>n/a (not returned by endpoint)</x:v>
      </x:c>
    </x:row>
    <x:row r="131">
      <x:c r="A131" s="65" t="str">
        <x:v>what is bug triage process</x:v>
      </x:c>
      <x:c r="B131" s="65" t="str">
        <x:v>bug triage process</x:v>
      </x:c>
      <x:c r="C131" s="65" t="str">
        <x:v>question</x:v>
      </x:c>
      <x:c r="D131" s="65" t="str">
        <x:v>0/mo</x:v>
      </x:c>
      <x:c r="E131" s="65" t="str">
        <x:v>n/a (no row returned)</x:v>
      </x:c>
      <x:c r="F131" s="65" t="str">
        <x:v>n/a (not returned by endpoint)</x:v>
      </x:c>
      <x:c r="G131" s="65" t="str">
        <x:v>n/a (no row returned)</x:v>
      </x:c>
      <x:c r="H131" s="65" t="str">
        <x:v>$0</x:v>
      </x:c>
      <x:c r="I131" s="65" t="str">
        <x:v>n/a (no row returned)</x:v>
      </x:c>
      <x:c r="J131" s="65" t="str">
        <x:v>0 (low)</x:v>
      </x:c>
      <x:c r="K131" s="65" t="str">
        <x:v>n/a (no row returned)</x:v>
      </x:c>
      <x:c r="L131" s="65" t="str">
        <x:v>n/a (not returned by endpoint)</x:v>
      </x:c>
      <x:c r="M131" s="65" t="str">
        <x:v>n/a (not returned by endpoint)</x:v>
      </x:c>
    </x:row>
    <x:row r="132">
      <x:c r="A132" s="65" t="str">
        <x:v>what is ci/cd explained simply</x:v>
      </x:c>
      <x:c r="B132" s="65" t="str">
        <x:v>ci cd explained simply</x:v>
      </x:c>
      <x:c r="C132" s="65" t="str">
        <x:v>question</x:v>
      </x:c>
      <x:c r="D132" s="65" t="str">
        <x:v>0/mo</x:v>
      </x:c>
      <x:c r="E132" s="65" t="str">
        <x:v>n/a (no row returned)</x:v>
      </x:c>
      <x:c r="F132" s="65" t="str">
        <x:v>n/a (not returned by endpoint)</x:v>
      </x:c>
      <x:c r="G132" s="65" t="str">
        <x:v>n/a (no row returned)</x:v>
      </x:c>
      <x:c r="H132" s="65" t="str">
        <x:v>$0</x:v>
      </x:c>
      <x:c r="I132" s="65" t="str">
        <x:v>n/a (no row returned)</x:v>
      </x:c>
      <x:c r="J132" s="65" t="str">
        <x:v>0 (low)</x:v>
      </x:c>
      <x:c r="K132" s="65" t="str">
        <x:v>n/a (no row returned)</x:v>
      </x:c>
      <x:c r="L132" s="65" t="str">
        <x:v>n/a (not returned by endpoint)</x:v>
      </x:c>
      <x:c r="M132" s="65" t="str">
        <x:v>n/a (not returned by endpoint)</x:v>
      </x:c>
    </x:row>
    <x:row r="133">
      <x:c r="A133" s="65" t="str">
        <x:v>what is frontend and backend database</x:v>
      </x:c>
      <x:c r="B133" s="65" t="str">
        <x:v>frontend backend database</x:v>
      </x:c>
      <x:c r="C133" s="65" t="str">
        <x:v>question</x:v>
      </x:c>
      <x:c r="D133" s="65" t="str">
        <x:v>0/mo</x:v>
      </x:c>
      <x:c r="E133" s="65" t="str">
        <x:v>n/a (no row returned)</x:v>
      </x:c>
      <x:c r="F133" s="65" t="str">
        <x:v>n/a (not returned by endpoint)</x:v>
      </x:c>
      <x:c r="G133" s="65" t="str">
        <x:v>n/a (no row returned)</x:v>
      </x:c>
      <x:c r="H133" s="65" t="str">
        <x:v>$0</x:v>
      </x:c>
      <x:c r="I133" s="65" t="str">
        <x:v>n/a (no row returned)</x:v>
      </x:c>
      <x:c r="J133" s="65" t="str">
        <x:v>0 (low)</x:v>
      </x:c>
      <x:c r="K133" s="65" t="str">
        <x:v>n/a (no row returned)</x:v>
      </x:c>
      <x:c r="L133" s="65" t="str">
        <x:v>n/a (not returned by endpoint)</x:v>
      </x:c>
      <x:c r="M133" s="65" t="str">
        <x:v>n/a (not returned by endpoint)</x:v>
      </x:c>
    </x:row>
    <x:row r="134">
      <x:c r="A134" s="65" t="str">
        <x:v>what is frontend backend and database</x:v>
      </x:c>
      <x:c r="B134" s="65" t="str">
        <x:v>frontend backend database</x:v>
      </x:c>
      <x:c r="C134" s="65" t="str">
        <x:v>question</x:v>
      </x:c>
      <x:c r="D134" s="65" t="str">
        <x:v>10/mo</x:v>
      </x:c>
      <x:c r="E134" s="65" t="str">
        <x:v>n/a (no row returned)</x:v>
      </x:c>
      <x:c r="F134" s="65" t="str">
        <x:v>n/a (not returned by endpoint)</x:v>
      </x:c>
      <x:c r="G134" s="65" t="str">
        <x:v>n/a (no row returned)</x:v>
      </x:c>
      <x:c r="H134" s="65" t="str">
        <x:v>$0</x:v>
      </x:c>
      <x:c r="I134" s="65" t="str">
        <x:v>n/a (no row returned)</x:v>
      </x:c>
      <x:c r="J134" s="65" t="str">
        <x:v>0.33 (medium)</x:v>
      </x:c>
      <x:c r="K134" s="65" t="str">
        <x:v>n/a (no row returned)</x:v>
      </x:c>
      <x:c r="L134" s="65" t="str">
        <x:v>n/a (not returned by endpoint)</x:v>
      </x:c>
      <x:c r="M134" s="65" t="str">
        <x:v>n/a (not returned by endpoint)</x:v>
      </x:c>
    </x:row>
    <x:row r="135">
      <x:c r="A135" s="65" t="str">
        <x:v>what is frontend vs database vs backend</x:v>
      </x:c>
      <x:c r="B135" s="65" t="str">
        <x:v>frontend vs backend vs database</x:v>
      </x:c>
      <x:c r="C135" s="65" t="str">
        <x:v>question</x:v>
      </x:c>
      <x:c r="D135" s="65" t="str">
        <x:v>0/mo</x:v>
      </x:c>
      <x:c r="E135" s="65" t="str">
        <x:v>n/a (no row returned)</x:v>
      </x:c>
      <x:c r="F135" s="65" t="str">
        <x:v>n/a (not returned by endpoint)</x:v>
      </x:c>
      <x:c r="G135" s="65" t="str">
        <x:v>n/a (no row returned)</x:v>
      </x:c>
      <x:c r="H135" s="65" t="str">
        <x:v>$0</x:v>
      </x:c>
      <x:c r="I135" s="65" t="str">
        <x:v>n/a (no row returned)</x:v>
      </x:c>
      <x:c r="J135" s="65" t="str">
        <x:v>0 (low)</x:v>
      </x:c>
      <x:c r="K135" s="65" t="str">
        <x:v>n/a (no row returned)</x:v>
      </x:c>
      <x:c r="L135" s="65" t="str">
        <x:v>n/a (not returned by endpoint)</x:v>
      </x:c>
      <x:c r="M135" s="65" t="str">
        <x:v>n/a (not returned by endpoint)</x:v>
      </x:c>
    </x:row>
    <x:row r="136">
      <x:c r="A136" s="65" t="str">
        <x:v>what is mvp</x:v>
      </x:c>
      <x:c r="B136" s="65" t="str">
        <x:v>mvp vs prototype vs poc</x:v>
      </x:c>
      <x:c r="C136" s="65" t="str">
        <x:v>related</x:v>
      </x:c>
      <x:c r="D136" s="65" t="str">
        <x:v>3,600/mo</x:v>
      </x:c>
      <x:c r="E136" s="65" t="str">
        <x:v>1,300/mo</x:v>
      </x:c>
      <x:c r="F136" s="65" t="str">
        <x:v>n/a (not returned by endpoint)</x:v>
      </x:c>
      <x:c r="G136" s="65" t="str">
        <x:v>47/100</x:v>
      </x:c>
      <x:c r="H136" s="65" t="str">
        <x:v>$2.45</x:v>
      </x:c>
      <x:c r="I136" s="65" t="str">
        <x:v>$1.93</x:v>
      </x:c>
      <x:c r="J136" s="65" t="str">
        <x:v>0.03 (low)</x:v>
      </x:c>
      <x:c r="K136" s="65" t="str">
        <x:v>0.01 (low)</x:v>
      </x:c>
      <x:c r="L136" s="65" t="str">
        <x:v>n/a (not returned by endpoint)</x:v>
      </x:c>
      <x:c r="M136" s="65" t="str">
        <x:v>n/a (not returned by endpoint)</x:v>
      </x:c>
    </x:row>
    <x:row r="137">
      <x:c r="A137" s="65" t="str">
        <x:v>what is prod</x:v>
      </x:c>
      <x:c r="B137" s="65" t="str">
        <x:v>staging vs production</x:v>
      </x:c>
      <x:c r="C137" s="65" t="str">
        <x:v>related</x:v>
      </x:c>
      <x:c r="D137" s="65" t="str">
        <x:v>390/mo</x:v>
      </x:c>
      <x:c r="E137" s="65" t="str">
        <x:v>70/mo</x:v>
      </x:c>
      <x:c r="F137" s="65" t="str">
        <x:v>n/a (not returned by endpoint)</x:v>
      </x:c>
      <x:c r="G137" s="65" t="str">
        <x:v>0/100</x:v>
      </x:c>
      <x:c r="H137" s="65" t="str">
        <x:v>$0</x:v>
      </x:c>
      <x:c r="I137" s="65" t="str">
        <x:v>$0</x:v>
      </x:c>
      <x:c r="J137" s="65" t="str">
        <x:v>0.33 (medium)</x:v>
      </x:c>
      <x:c r="K137" s="65" t="str">
        <x:v>0.33 (medium)</x:v>
      </x:c>
      <x:c r="L137" s="65" t="str">
        <x:v>n/a (not returned by endpoint)</x:v>
      </x:c>
      <x:c r="M137" s="65" t="str">
        <x:v>n/a (not returned by endpoint)</x:v>
      </x:c>
    </x:row>
    <x:row r="138">
      <x:c r="A138" s="65" t="str">
        <x:v>what is production vs staging</x:v>
      </x:c>
      <x:c r="B138" s="65" t="str">
        <x:v>staging vs production</x:v>
      </x:c>
      <x:c r="C138" s="65" t="str">
        <x:v>question</x:v>
      </x:c>
      <x:c r="D138" s="65" t="str">
        <x:v>0/mo</x:v>
      </x:c>
      <x:c r="E138" s="65" t="str">
        <x:v>0/mo</x:v>
      </x:c>
      <x:c r="F138" s="65" t="str">
        <x:v>n/a (not returned by endpoint)</x:v>
      </x:c>
      <x:c r="G138" s="65" t="str">
        <x:v>0/100</x:v>
      </x:c>
      <x:c r="H138" s="65" t="str">
        <x:v>$0</x:v>
      </x:c>
      <x:c r="I138" s="65" t="str">
        <x:v>$0</x:v>
      </x:c>
      <x:c r="J138" s="65" t="str">
        <x:v>0 (low)</x:v>
      </x:c>
      <x:c r="K138" s="65" t="str">
        <x:v>0 (low)</x:v>
      </x:c>
      <x:c r="L138" s="65" t="str">
        <x:v>n/a (not returned by endpoint)</x:v>
      </x:c>
      <x:c r="M138" s="65" t="str">
        <x:v>n/a (not returned by endpoint)</x:v>
      </x:c>
    </x:row>
    <x:row r="139">
      <x:c r="A139" s="65" t="str">
        <x:v>what is staging vs production</x:v>
      </x:c>
      <x:c r="B139" s="65" t="str">
        <x:v>staging vs production</x:v>
      </x:c>
      <x:c r="C139" s="65" t="str">
        <x:v>question</x:v>
      </x:c>
      <x:c r="D139" s="65" t="str">
        <x:v>20/mo</x:v>
      </x:c>
      <x:c r="E139" s="65" t="str">
        <x:v>10/mo</x:v>
      </x:c>
      <x:c r="F139" s="65" t="str">
        <x:v>n/a (not returned by endpoint)</x:v>
      </x:c>
      <x:c r="G139" s="65" t="str">
        <x:v>0/100</x:v>
      </x:c>
      <x:c r="H139" s="65" t="str">
        <x:v>$0</x:v>
      </x:c>
      <x:c r="I139" s="65" t="str">
        <x:v>$0</x:v>
      </x:c>
      <x:c r="J139" s="65" t="str">
        <x:v>0.33 (medium)</x:v>
      </x:c>
      <x:c r="K139" s="65" t="str">
        <x:v>0.33 (medium)</x:v>
      </x:c>
      <x:c r="L139" s="65" t="str">
        <x:v>n/a (not returned by endpoint)</x:v>
      </x:c>
      <x:c r="M139" s="65" t="str">
        <x:v>n/a (not returned by endpoint)</x:v>
      </x:c>
    </x:row>
    <x:row r="140">
      <x:c r="A140" s="65" t="str">
        <x:v>what is tech debt</x:v>
      </x:c>
      <x:c r="B140" s="65" t="str">
        <x:v>what is technical debt in software development</x:v>
      </x:c>
      <x:c r="C140" s="65" t="str">
        <x:v>related</x:v>
      </x:c>
      <x:c r="D140" s="65" t="str">
        <x:v>2,900/mo</x:v>
      </x:c>
      <x:c r="E140" s="65" t="str">
        <x:v>590/mo</x:v>
      </x:c>
      <x:c r="F140" s="65" t="str">
        <x:v>n/a (not returned by endpoint)</x:v>
      </x:c>
      <x:c r="G140" s="65" t="str">
        <x:v>44/100</x:v>
      </x:c>
      <x:c r="H140" s="65" t="str">
        <x:v>$2.5</x:v>
      </x:c>
      <x:c r="I140" s="65" t="str">
        <x:v>$2.17</x:v>
      </x:c>
      <x:c r="J140" s="65" t="str">
        <x:v>0.01 (low)</x:v>
      </x:c>
      <x:c r="K140" s="65" t="str">
        <x:v>0.01 (low)</x:v>
      </x:c>
      <x:c r="L140" s="65" t="str">
        <x:v>n/a (not returned by endpoint)</x:v>
      </x:c>
      <x:c r="M140" s="65" t="str">
        <x:v>n/a (not returned by endpoint)</x:v>
      </x:c>
    </x:row>
    <x:row r="141">
      <x:c r="A141" s="65" t="str">
        <x:v>what is technical debt</x:v>
      </x:c>
      <x:c r="B141" s="65" t="str">
        <x:v>what is technical debt in software development</x:v>
      </x:c>
      <x:c r="C141" s="65" t="str">
        <x:v>related</x:v>
      </x:c>
      <x:c r="D141" s="65" t="str">
        <x:v>2,900/mo</x:v>
      </x:c>
      <x:c r="E141" s="65" t="str">
        <x:v>720/mo</x:v>
      </x:c>
      <x:c r="F141" s="65" t="str">
        <x:v>n/a (not returned by endpoint)</x:v>
      </x:c>
      <x:c r="G141" s="65" t="str">
        <x:v>39/100</x:v>
      </x:c>
      <x:c r="H141" s="65" t="str">
        <x:v>$2.5</x:v>
      </x:c>
      <x:c r="I141" s="65" t="str">
        <x:v>$0.55</x:v>
      </x:c>
      <x:c r="J141" s="65" t="str">
        <x:v>0.01 (low)</x:v>
      </x:c>
      <x:c r="K141" s="65" t="str">
        <x:v>0.02 (low)</x:v>
      </x:c>
      <x:c r="L141" s="65" t="str">
        <x:v>n/a (not returned by endpoint)</x:v>
      </x:c>
      <x:c r="M141" s="65" t="str">
        <x:v>n/a (not returned by endpoint)</x:v>
      </x:c>
    </x:row>
    <x:row r="142">
      <x:c r="A142" s="65" t="str">
        <x:v>what is the difference between a webhook and an api</x:v>
      </x:c>
      <x:c r="B142" s="65" t="str">
        <x:v>What is the difference between API and webhook?</x:v>
      </x:c>
      <x:c r="C142" s="65" t="str">
        <x:v>question</x:v>
      </x:c>
      <x:c r="D142" s="65" t="str">
        <x:v>20/mo</x:v>
      </x:c>
      <x:c r="E142" s="65" t="str">
        <x:v>20/mo</x:v>
      </x:c>
      <x:c r="F142" s="65" t="str">
        <x:v>n/a (not returned by endpoint)</x:v>
      </x:c>
      <x:c r="G142" s="65" t="str">
        <x:v>0/100</x:v>
      </x:c>
      <x:c r="H142" s="65" t="str">
        <x:v>$0.13</x:v>
      </x:c>
      <x:c r="I142" s="65" t="str">
        <x:v>$0</x:v>
      </x:c>
      <x:c r="J142" s="65" t="str">
        <x:v>0.19 (low)</x:v>
      </x:c>
      <x:c r="K142" s="65" t="str">
        <x:v>0.06 (low)</x:v>
      </x:c>
      <x:c r="L142" s="65" t="str">
        <x:v>n/a (not returned by endpoint)</x:v>
      </x:c>
      <x:c r="M142" s="65" t="str">
        <x:v>n/a (not returned by endpoint)</x:v>
      </x:c>
    </x:row>
    <x:row r="143">
      <x:c r="A143" s="65" t="str">
        <x:v>what is the difference between a webhook and api</x:v>
      </x:c>
      <x:c r="B143" s="65" t="str">
        <x:v>What is the difference between API and webhook?</x:v>
      </x:c>
      <x:c r="C143" s="65" t="str">
        <x:v>question</x:v>
      </x:c>
      <x:c r="D143" s="65" t="str">
        <x:v>20/mo</x:v>
      </x:c>
      <x:c r="E143" s="65" t="str">
        <x:v>0/mo</x:v>
      </x:c>
      <x:c r="F143" s="65" t="str">
        <x:v>n/a (not returned by endpoint)</x:v>
      </x:c>
      <x:c r="G143" s="65" t="str">
        <x:v>0/100</x:v>
      </x:c>
      <x:c r="H143" s="65" t="str">
        <x:v>$0</x:v>
      </x:c>
      <x:c r="I143" s="65" t="str">
        <x:v>$0</x:v>
      </x:c>
      <x:c r="J143" s="65" t="str">
        <x:v>0.1 (low)</x:v>
      </x:c>
      <x:c r="K143" s="65" t="str">
        <x:v>0 (low)</x:v>
      </x:c>
      <x:c r="L143" s="65" t="str">
        <x:v>n/a (not returned by endpoint)</x:v>
      </x:c>
      <x:c r="M143" s="65" t="str">
        <x:v>n/a (not returned by endpoint)</x:v>
      </x:c>
    </x:row>
    <x:row r="144">
      <x:c r="A144" s="65" t="str">
        <x:v>what is the difference between an api and a webhook</x:v>
      </x:c>
      <x:c r="B144" s="65" t="str">
        <x:v>What is the difference between API and webhook?</x:v>
      </x:c>
      <x:c r="C144" s="65" t="str">
        <x:v>question</x:v>
      </x:c>
      <x:c r="D144" s="65" t="str">
        <x:v>30/mo</x:v>
      </x:c>
      <x:c r="E144" s="65" t="str">
        <x:v>20/mo</x:v>
      </x:c>
      <x:c r="F144" s="65" t="str">
        <x:v>n/a (not returned by endpoint)</x:v>
      </x:c>
      <x:c r="G144" s="65" t="str">
        <x:v>0/100</x:v>
      </x:c>
      <x:c r="H144" s="65" t="str">
        <x:v>$0.1</x:v>
      </x:c>
      <x:c r="I144" s="65" t="str">
        <x:v>$0</x:v>
      </x:c>
      <x:c r="J144" s="65" t="str">
        <x:v>0.18 (low)</x:v>
      </x:c>
      <x:c r="K144" s="65" t="str">
        <x:v>0.07 (low)</x:v>
      </x:c>
      <x:c r="L144" s="65" t="str">
        <x:v>n/a (not returned by endpoint)</x:v>
      </x:c>
      <x:c r="M144" s="65" t="str">
        <x:v>n/a (not returned by endpoint)</x:v>
      </x:c>
    </x:row>
    <x:row r="145">
      <x:c r="A145" s="65" t="str">
        <x:v>what is the difference between api and webhook</x:v>
      </x:c>
      <x:c r="B145" s="65" t="str">
        <x:v>What is the difference between API and webhook?</x:v>
      </x:c>
      <x:c r="C145" s="65" t="str">
        <x:v>question</x:v>
      </x:c>
      <x:c r="D145" s="65" t="str">
        <x:v>20/mo</x:v>
      </x:c>
      <x:c r="E145" s="65" t="str">
        <x:v>20/mo</x:v>
      </x:c>
      <x:c r="F145" s="65" t="str">
        <x:v>n/a (not returned by endpoint)</x:v>
      </x:c>
      <x:c r="G145" s="65" t="str">
        <x:v>0/100</x:v>
      </x:c>
      <x:c r="H145" s="65" t="str">
        <x:v>$0</x:v>
      </x:c>
      <x:c r="I145" s="65" t="str">
        <x:v>$0</x:v>
      </x:c>
      <x:c r="J145" s="65" t="str">
        <x:v>0.07 (low)</x:v>
      </x:c>
      <x:c r="K145" s="65" t="str">
        <x:v>0.14 (low)</x:v>
      </x:c>
      <x:c r="L145" s="65" t="str">
        <x:v>n/a (not returned by endpoint)</x:v>
      </x:c>
      <x:c r="M145" s="65" t="str">
        <x:v>n/a (not returned by endpoint)</x:v>
      </x:c>
    </x:row>
    <x:row r="146">
      <x:c r="A146" s="65" t="str">
        <x:v>what is the difference between webhook and api</x:v>
      </x:c>
      <x:c r="B146" s="65" t="str">
        <x:v>What is the difference between API and webhook?</x:v>
      </x:c>
      <x:c r="C146" s="65" t="str">
        <x:v>question</x:v>
      </x:c>
      <x:c r="D146" s="65" t="str">
        <x:v>20/mo</x:v>
      </x:c>
      <x:c r="E146" s="65" t="str">
        <x:v>20/mo</x:v>
      </x:c>
      <x:c r="F146" s="65" t="str">
        <x:v>n/a (not returned by endpoint)</x:v>
      </x:c>
      <x:c r="G146" s="65" t="str">
        <x:v>0/100</x:v>
      </x:c>
      <x:c r="H146" s="65" t="str">
        <x:v>$0</x:v>
      </x:c>
      <x:c r="I146" s="65" t="str">
        <x:v>$0</x:v>
      </x:c>
      <x:c r="J146" s="65" t="str">
        <x:v>0.1 (low)</x:v>
      </x:c>
      <x:c r="K146" s="65" t="str">
        <x:v>0.36 (medium)</x:v>
      </x:c>
      <x:c r="L146" s="65" t="str">
        <x:v>n/a (not returned by endpoint)</x:v>
      </x:c>
      <x:c r="M146" s="65" t="str">
        <x:v>n/a (not returned by endpoint)</x:v>
      </x:c>
    </x:row>
    <x:row r="147">
      <x:c r="A147" s="65" t="str">
        <x:v>what is vibe coding</x:v>
      </x:c>
      <x:c r="B147" s="65" t="str">
        <x:v>vibe coding for beginners; how does vibe coding work</x:v>
      </x:c>
      <x:c r="C147" s="65" t="str">
        <x:v>related</x:v>
      </x:c>
      <x:c r="D147" s="65" t="str">
        <x:v>49,500/mo</x:v>
      </x:c>
      <x:c r="E147" s="65" t="str">
        <x:v>5,400/mo</x:v>
      </x:c>
      <x:c r="F147" s="65" t="str">
        <x:v>n/a (not returned by endpoint)</x:v>
      </x:c>
      <x:c r="G147" s="65" t="str">
        <x:v>62/100</x:v>
      </x:c>
      <x:c r="H147" s="65" t="str">
        <x:v>$1.94</x:v>
      </x:c>
      <x:c r="I147" s="65" t="str">
        <x:v>$1.49</x:v>
      </x:c>
      <x:c r="J147" s="65" t="str">
        <x:v>0.27 (low)</x:v>
      </x:c>
      <x:c r="K147" s="65" t="str">
        <x:v>0.12 (low)</x:v>
      </x:c>
      <x:c r="L147" s="65" t="str">
        <x:v>n/a (not returned by endpoint)</x:v>
      </x:c>
      <x:c r="M147" s="65" t="str">
        <x:v>n/a (not returned by endpoint)</x:v>
      </x:c>
    </x:row>
    <x:row r="148">
      <x:c r="A148" s="65" t="str">
        <x:v>what is vibe coding and how does it work</x:v>
      </x:c>
      <x:c r="B148" s="65" t="str">
        <x:v>how does vibe coding work</x:v>
      </x:c>
      <x:c r="C148" s="65" t="str">
        <x:v>question</x:v>
      </x:c>
      <x:c r="D148" s="65" t="str">
        <x:v>20/mo</x:v>
      </x:c>
      <x:c r="E148" s="65" t="str">
        <x:v>10/mo</x:v>
      </x:c>
      <x:c r="F148" s="65" t="str">
        <x:v>n/a (not returned by endpoint)</x:v>
      </x:c>
      <x:c r="G148" s="65" t="str">
        <x:v>0/100</x:v>
      </x:c>
      <x:c r="H148" s="65" t="str">
        <x:v>$1.9</x:v>
      </x:c>
      <x:c r="I148" s="65" t="str">
        <x:v>$0</x:v>
      </x:c>
      <x:c r="J148" s="65" t="str">
        <x:v>0.11 (low)</x:v>
      </x:c>
      <x:c r="K148" s="65" t="str">
        <x:v>0.33 (medium)</x:v>
      </x:c>
      <x:c r="L148" s="65" t="str">
        <x:v>n/a (not returned by endpoint)</x:v>
      </x:c>
      <x:c r="M148" s="65" t="str">
        <x:v>n/a (not returned by endpoint)</x:v>
      </x:c>
    </x:row>
    <x:row r="149">
      <x:c r="A149" s="65" t="str">
        <x:v>what is webhook vs api</x:v>
      </x:c>
      <x:c r="B149" s="65" t="str">
        <x:v>webhooks vs api</x:v>
      </x:c>
      <x:c r="C149" s="65" t="str">
        <x:v>question</x:v>
      </x:c>
      <x:c r="D149" s="65" t="str">
        <x:v>20/mo</x:v>
      </x:c>
      <x:c r="E149" s="65" t="str">
        <x:v>20/mo</x:v>
      </x:c>
      <x:c r="F149" s="65" t="str">
        <x:v>n/a (not returned by endpoint)</x:v>
      </x:c>
      <x:c r="G149" s="65" t="str">
        <x:v>0/100</x:v>
      </x:c>
      <x:c r="H149" s="65" t="str">
        <x:v>$0</x:v>
      </x:c>
      <x:c r="I149" s="65" t="str">
        <x:v>$0</x:v>
      </x:c>
      <x:c r="J149" s="65" t="str">
        <x:v>0.09 (low)</x:v>
      </x:c>
      <x:c r="K149" s="65" t="str">
        <x:v>0 (low)</x:v>
      </x:c>
      <x:c r="L149" s="65" t="str">
        <x:v>n/a (not returned by endpoint)</x:v>
      </x:c>
      <x:c r="M149" s="65" t="str">
        <x:v>n/a (not returned by endpoint)</x:v>
      </x:c>
    </x:row>
    <x:row r="150">
      <x:c r="A150" s="65" t="str">
        <x:v>whats a webhook</x:v>
      </x:c>
      <x:c r="B150" s="65" t="str">
        <x:v>webhooks vs api</x:v>
      </x:c>
      <x:c r="C150" s="65" t="str">
        <x:v>related</x:v>
      </x:c>
      <x:c r="D150" s="65" t="str">
        <x:v>390/mo</x:v>
      </x:c>
      <x:c r="E150" s="65" t="str">
        <x:v>70/mo</x:v>
      </x:c>
      <x:c r="F150" s="65" t="str">
        <x:v>n/a (not returned by endpoint)</x:v>
      </x:c>
      <x:c r="G150" s="65" t="str">
        <x:v>0/100</x:v>
      </x:c>
      <x:c r="H150" s="65" t="str">
        <x:v>$1.09</x:v>
      </x:c>
      <x:c r="I150" s="65" t="str">
        <x:v>$0.99</x:v>
      </x:c>
      <x:c r="J150" s="65" t="str">
        <x:v>0.23 (low)</x:v>
      </x:c>
      <x:c r="K150" s="65" t="str">
        <x:v>0.12 (low)</x:v>
      </x:c>
      <x:c r="L150" s="65" t="str">
        <x:v>n/a (not returned by endpoint)</x:v>
      </x:c>
      <x:c r="M150" s="65" t="str">
        <x:v>n/a (not returned by endpoint)</x:v>
      </x:c>
    </x:row>
    <x:row r="151">
      <x:c r="A151" s="65" t="str">
        <x:v>which ai coding tool is best for beginners</x:v>
      </x:c>
      <x:c r="B151" s="65" t="str">
        <x:v>ai coding tools for beginners</x:v>
      </x:c>
      <x:c r="C151" s="65" t="str">
        <x:v>question</x:v>
      </x:c>
      <x:c r="D151" s="65" t="str">
        <x:v>0/mo</x:v>
      </x:c>
      <x:c r="E151" s="65" t="str">
        <x:v>n/a (no row returned)</x:v>
      </x:c>
      <x:c r="F151" s="65" t="str">
        <x:v>n/a (not returned by endpoint)</x:v>
      </x:c>
      <x:c r="G151" s="65" t="str">
        <x:v>n/a (no row returned)</x:v>
      </x:c>
      <x:c r="H151" s="65" t="str">
        <x:v>$0</x:v>
      </x:c>
      <x:c r="I151" s="65" t="str">
        <x:v>n/a (no row returned)</x:v>
      </x:c>
      <x:c r="J151" s="65" t="str">
        <x:v>0 (low)</x:v>
      </x:c>
      <x:c r="K151" s="65" t="str">
        <x:v>n/a (no row returned)</x:v>
      </x:c>
      <x:c r="L151" s="65" t="str">
        <x:v>n/a (not returned by endpoint)</x:v>
      </x:c>
      <x:c r="M151" s="65" t="str">
        <x:v>n/a (not returned by endpoint)</x:v>
      </x:c>
    </x:row>
    <x:row r="152">
      <x:c r="A152" s="65" t="str">
        <x:v>with vibe</x:v>
      </x:c>
      <x:c r="B152" s="65" t="str">
        <x:v>how does vibe coding work</x:v>
      </x:c>
      <x:c r="C152" s="65" t="str">
        <x:v>related</x:v>
      </x:c>
      <x:c r="D152" s="65" t="str">
        <x:v>8,100/mo</x:v>
      </x:c>
      <x:c r="E152" s="65" t="str">
        <x:v>1,300/mo</x:v>
      </x:c>
      <x:c r="F152" s="65" t="str">
        <x:v>n/a (not returned by endpoint)</x:v>
      </x:c>
      <x:c r="G152" s="65" t="str">
        <x:v>40/100</x:v>
      </x:c>
      <x:c r="H152" s="65" t="str">
        <x:v>$1.3</x:v>
      </x:c>
      <x:c r="I152" s="65" t="str">
        <x:v>$1.05</x:v>
      </x:c>
      <x:c r="J152" s="65" t="str">
        <x:v>0.65 (medium)</x:v>
      </x:c>
      <x:c r="K152" s="65" t="str">
        <x:v>0.34 (medium)</x:v>
      </x:c>
      <x:c r="L152" s="65" t="str">
        <x:v>n/a (not returned by endpoint)</x:v>
      </x:c>
      <x:c r="M152" s="65" t="str">
        <x:v>n/a (not returned by endpoint)</x:v>
      </x:c>
    </x:row>
    <x:row r="153">
      <x:c r="A153" s="65" t="str">
        <x:v>zapier integrations</x:v>
      </x:c>
      <x:c r="B153" s="65" t="str">
        <x:v>how does api integration work</x:v>
      </x:c>
      <x:c r="C153" s="65" t="str">
        <x:v>related</x:v>
      </x:c>
      <x:c r="D153" s="65" t="str">
        <x:v>2,400/mo</x:v>
      </x:c>
      <x:c r="E153" s="65" t="str">
        <x:v>210/mo</x:v>
      </x:c>
      <x:c r="F153" s="65" t="str">
        <x:v>n/a (not returned by endpoint)</x:v>
      </x:c>
      <x:c r="G153" s="65" t="str">
        <x:v>35/100</x:v>
      </x:c>
      <x:c r="H153" s="65" t="str">
        <x:v>$6.46</x:v>
      </x:c>
      <x:c r="I153" s="65" t="str">
        <x:v>$4.71</x:v>
      </x:c>
      <x:c r="J153" s="65" t="str">
        <x:v>0.51 (medium)</x:v>
      </x:c>
      <x:c r="K153" s="65" t="str">
        <x:v>0.48 (medium)</x:v>
      </x:c>
      <x:c r="L153" s="65" t="str">
        <x:v>n/a (not returned by endpoint)</x:v>
      </x:c>
      <x:c r="M153" s="65" t="str">
        <x:v>n/a (not returned by endpoint)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2a3205eba071452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28" hidden="0" customWidth="1"/>
    <x:col min="4" max="4" width="36" hidden="0" customWidth="1"/>
    <x:col min="5" max="5" width="28" hidden="0" customWidth="1"/>
    <x:col min="6" max="6" width="17" hidden="0" customWidth="1"/>
  </x:cols>
  <x:sheetData>
    <x:row r="1" ht="32" customHeight="1">
      <x:c r="A1" s="3" t="str">
        <x:v>Raw Dataset C — seed SERPs</x:v>
      </x:c>
      <x:c r="B1" s="3"/>
      <x:c r="C1" s="3"/>
      <x:c r="D1" s="3"/>
      <x:c r="E1" s="3"/>
      <x:c r="F1" s="3"/>
    </x:row>
    <x:row r="2" ht="30" customHeight="1">
      <x:c r="A2" s="7" t="str">
        <x:v>Verbatim supplied US top-ten results for ten seeds.</x:v>
      </x:c>
      <x:c r="B2" s="7"/>
      <x:c r="C2" s="7"/>
      <x:c r="D2" s="7"/>
      <x:c r="E2" s="7"/>
      <x:c r="F2" s="7"/>
    </x:row>
    <x:row r="3" ht="34" customHeight="1">
      <x:c r="A3" s="14" t="str">
        <x:v>seed_keyword</x:v>
      </x:c>
      <x:c r="B3" s="24" t="str">
        <x:v>position</x:v>
      </x:c>
      <x:c r="C3" s="24" t="str">
        <x:v>title</x:v>
      </x:c>
      <x:c r="D3" s="24" t="str">
        <x:v>URL</x:v>
      </x:c>
      <x:c r="E3" s="24" t="str">
        <x:v>domain</x:v>
      </x:c>
      <x:c r="F3" s="15" t="str">
        <x:v>SERP_features</x:v>
      </x:c>
    </x:row>
    <x:row r="4">
      <x:c r="A4" s="64" t="str">
        <x:v>how does an api work</x:v>
      </x:c>
      <x:c r="B4" s="64" t="str">
        <x:v>1</x:v>
      </x:c>
      <x:c r="C4" s="64" t="str">
        <x:v>n/a (not returned by endpoint)</x:v>
      </x:c>
      <x:c r="D4" s="64" t="str">
        <x:v>https://www.reddit.com/r/cybersecurity/comments/1elnz4j/what_is_an_api_really_need_deeper_explanation/</x:v>
      </x:c>
      <x:c r="E4" s="64" t="str">
        <x:v>www.reddit.com</x:v>
      </x:c>
      <x:c r="F4" s="64" t="str">
        <x:v>n/a (not returned by endpoint)</x:v>
      </x:c>
    </x:row>
    <x:row r="5">
      <x:c r="A5" s="65" t="str">
        <x:v>how does an api work</x:v>
      </x:c>
      <x:c r="B5" s="65" t="str">
        <x:v>2</x:v>
      </x:c>
      <x:c r="C5" s="65" t="str">
        <x:v>n/a (not returned by endpoint)</x:v>
      </x:c>
      <x:c r="D5" s="65" t="str">
        <x:v>https://www.postman.com/what-is-an-api/</x:v>
      </x:c>
      <x:c r="E5" s="65" t="str">
        <x:v>www.postman.com</x:v>
      </x:c>
      <x:c r="F5" s="65" t="str">
        <x:v>n/a (not returned by endpoint)</x:v>
      </x:c>
    </x:row>
    <x:row r="6">
      <x:c r="A6" s="65" t="str">
        <x:v>how does an api work</x:v>
      </x:c>
      <x:c r="B6" s="65" t="str">
        <x:v>3</x:v>
      </x:c>
      <x:c r="C6" s="65" t="str">
        <x:v>n/a (not returned by endpoint)</x:v>
      </x:c>
      <x:c r="D6" s="65" t="str">
        <x:v>https://aws.amazon.com/what-is/api/</x:v>
      </x:c>
      <x:c r="E6" s="65" t="str">
        <x:v>aws.amazon.com</x:v>
      </x:c>
      <x:c r="F6" s="65" t="str">
        <x:v>n/a (not returned by endpoint)</x:v>
      </x:c>
    </x:row>
    <x:row r="7">
      <x:c r="A7" s="65" t="str">
        <x:v>how does an api work</x:v>
      </x:c>
      <x:c r="B7" s="65" t="str">
        <x:v>4</x:v>
      </x:c>
      <x:c r="C7" s="65" t="str">
        <x:v>n/a (not returned by endpoint)</x:v>
      </x:c>
      <x:c r="D7" s="65" t="str">
        <x:v>https://www.moesif.com/blog/technical/api-development/API-For-Dummies/</x:v>
      </x:c>
      <x:c r="E7" s="65" t="str">
        <x:v>www.moesif.com</x:v>
      </x:c>
      <x:c r="F7" s="65" t="str">
        <x:v>n/a (not returned by endpoint)</x:v>
      </x:c>
    </x:row>
    <x:row r="8">
      <x:c r="A8" s="65" t="str">
        <x:v>how does an api work</x:v>
      </x:c>
      <x:c r="B8" s="65" t="str">
        <x:v>5</x:v>
      </x:c>
      <x:c r="C8" s="65" t="str">
        <x:v>n/a (not returned by endpoint)</x:v>
      </x:c>
      <x:c r="D8" s="65" t="str">
        <x:v>https://www.contentful.com/guides/api/</x:v>
      </x:c>
      <x:c r="E8" s="65" t="str">
        <x:v>www.contentful.com</x:v>
      </x:c>
      <x:c r="F8" s="65" t="str">
        <x:v>n/a (not returned by endpoint)</x:v>
      </x:c>
    </x:row>
    <x:row r="9">
      <x:c r="A9" s="65" t="str">
        <x:v>how does an api work</x:v>
      </x:c>
      <x:c r="B9" s="65" t="str">
        <x:v>6</x:v>
      </x:c>
      <x:c r="C9" s="65" t="str">
        <x:v>n/a (not returned by endpoint)</x:v>
      </x:c>
      <x:c r="D9" s="65" t="str">
        <x:v>https://www.akamai.com/glossary/how-do-apis-work</x:v>
      </x:c>
      <x:c r="E9" s="65" t="str">
        <x:v>www.akamai.com</x:v>
      </x:c>
      <x:c r="F9" s="65" t="str">
        <x:v>n/a (not returned by endpoint)</x:v>
      </x:c>
    </x:row>
    <x:row r="10">
      <x:c r="A10" s="65" t="str">
        <x:v>how does an api work</x:v>
      </x:c>
      <x:c r="B10" s="65" t="str">
        <x:v>7</x:v>
      </x:c>
      <x:c r="C10" s="65" t="str">
        <x:v>n/a (not returned by endpoint)</x:v>
      </x:c>
      <x:c r="D10" s="65" t="str">
        <x:v>https://www.sap.com/resources/what-is-api</x:v>
      </x:c>
      <x:c r="E10" s="65" t="str">
        <x:v>www.sap.com</x:v>
      </x:c>
      <x:c r="F10" s="65" t="str">
        <x:v>n/a (not returned by endpoint)</x:v>
      </x:c>
    </x:row>
    <x:row r="11">
      <x:c r="A11" s="65" t="str">
        <x:v>how does an api work</x:v>
      </x:c>
      <x:c r="B11" s="65" t="str">
        <x:v>8</x:v>
      </x:c>
      <x:c r="C11" s="65" t="str">
        <x:v>n/a (not returned by endpoint)</x:v>
      </x:c>
      <x:c r="D11" s="65" t="str">
        <x:v>https://www.quora.com/What-is-an-API-How-does-it-work-and-how-do-developers-use-them</x:v>
      </x:c>
      <x:c r="E11" s="65" t="str">
        <x:v>www.quora.com</x:v>
      </x:c>
      <x:c r="F11" s="65" t="str">
        <x:v>n/a (not returned by endpoint)</x:v>
      </x:c>
    </x:row>
    <x:row r="12">
      <x:c r="A12" s="65" t="str">
        <x:v>how does an api work</x:v>
      </x:c>
      <x:c r="B12" s="65" t="str">
        <x:v>9</x:v>
      </x:c>
      <x:c r="C12" s="65" t="str">
        <x:v>n/a (not returned by endpoint)</x:v>
      </x:c>
      <x:c r="D12" s="65" t="str">
        <x:v>https://www.freecodecamp.org/news/how-apis-work/</x:v>
      </x:c>
      <x:c r="E12" s="65" t="str">
        <x:v>www.freecodecamp.org</x:v>
      </x:c>
      <x:c r="F12" s="65" t="str">
        <x:v>n/a (not returned by endpoint)</x:v>
      </x:c>
    </x:row>
    <x:row r="13">
      <x:c r="A13" s="65" t="str">
        <x:v>how does an api work</x:v>
      </x:c>
      <x:c r="B13" s="65" t="str">
        <x:v>10</x:v>
      </x:c>
      <x:c r="C13" s="65" t="str">
        <x:v>n/a (not returned by endpoint)</x:v>
      </x:c>
      <x:c r="D13" s="65" t="str">
        <x:v>https://www.ibm.com/think/topics/api</x:v>
      </x:c>
      <x:c r="E13" s="65" t="str">
        <x:v>www.ibm.com</x:v>
      </x:c>
      <x:c r="F13" s="65" t="str">
        <x:v>n/a (not returned by endpoint)</x:v>
      </x:c>
    </x:row>
    <x:row r="14">
      <x:c r="A14" s="65" t="str">
        <x:v>what is an api and how does it work</x:v>
      </x:c>
      <x:c r="B14" s="65" t="str">
        <x:v>1</x:v>
      </x:c>
      <x:c r="C14" s="65" t="str">
        <x:v>n/a (not returned by endpoint)</x:v>
      </x:c>
      <x:c r="D14" s="65" t="str">
        <x:v>https://www.reddit.com/r/cybersecurity/comments/1elnz4j/what_is_an_api_really_need_deeper_explanation/</x:v>
      </x:c>
      <x:c r="E14" s="65" t="str">
        <x:v>www.reddit.com</x:v>
      </x:c>
      <x:c r="F14" s="65" t="str">
        <x:v>n/a (not returned by endpoint)</x:v>
      </x:c>
    </x:row>
    <x:row r="15">
      <x:c r="A15" s="65" t="str">
        <x:v>what is an api and how does it work</x:v>
      </x:c>
      <x:c r="B15" s="65" t="str">
        <x:v>2</x:v>
      </x:c>
      <x:c r="C15" s="65" t="str">
        <x:v>n/a (not returned by endpoint)</x:v>
      </x:c>
      <x:c r="D15" s="65" t="str">
        <x:v>https://www.postman.com/what-is-an-api/</x:v>
      </x:c>
      <x:c r="E15" s="65" t="str">
        <x:v>www.postman.com</x:v>
      </x:c>
      <x:c r="F15" s="65" t="str">
        <x:v>n/a (not returned by endpoint)</x:v>
      </x:c>
    </x:row>
    <x:row r="16">
      <x:c r="A16" s="65" t="str">
        <x:v>what is an api and how does it work</x:v>
      </x:c>
      <x:c r="B16" s="65" t="str">
        <x:v>3</x:v>
      </x:c>
      <x:c r="C16" s="65" t="str">
        <x:v>n/a (not returned by endpoint)</x:v>
      </x:c>
      <x:c r="D16" s="65" t="str">
        <x:v>https://aws.amazon.com/what-is/api/</x:v>
      </x:c>
      <x:c r="E16" s="65" t="str">
        <x:v>aws.amazon.com</x:v>
      </x:c>
      <x:c r="F16" s="65" t="str">
        <x:v>n/a (not returned by endpoint)</x:v>
      </x:c>
    </x:row>
    <x:row r="17">
      <x:c r="A17" s="65" t="str">
        <x:v>what is an api and how does it work</x:v>
      </x:c>
      <x:c r="B17" s="65" t="str">
        <x:v>4</x:v>
      </x:c>
      <x:c r="C17" s="65" t="str">
        <x:v>n/a (not returned by endpoint)</x:v>
      </x:c>
      <x:c r="D17" s="65" t="str">
        <x:v>https://www.ibm.com/think/topics/api</x:v>
      </x:c>
      <x:c r="E17" s="65" t="str">
        <x:v>www.ibm.com</x:v>
      </x:c>
      <x:c r="F17" s="65" t="str">
        <x:v>n/a (not returned by endpoint)</x:v>
      </x:c>
    </x:row>
    <x:row r="18">
      <x:c r="A18" s="65" t="str">
        <x:v>what is an api and how does it work</x:v>
      </x:c>
      <x:c r="B18" s="65" t="str">
        <x:v>5</x:v>
      </x:c>
      <x:c r="C18" s="65" t="str">
        <x:v>n/a (not returned by endpoint)</x:v>
      </x:c>
      <x:c r="D18" s="65" t="str">
        <x:v>https://www.coursera.org/articles/what-is-an-api</x:v>
      </x:c>
      <x:c r="E18" s="65" t="str">
        <x:v>www.coursera.org</x:v>
      </x:c>
      <x:c r="F18" s="65" t="str">
        <x:v>n/a (not returned by endpoint)</x:v>
      </x:c>
    </x:row>
    <x:row r="19">
      <x:c r="A19" s="65" t="str">
        <x:v>what is an api and how does it work</x:v>
      </x:c>
      <x:c r="B19" s="65" t="str">
        <x:v>6</x:v>
      </x:c>
      <x:c r="C19" s="65" t="str">
        <x:v>n/a (not returned by endpoint)</x:v>
      </x:c>
      <x:c r="D19" s="65" t="str">
        <x:v>https://www.contentful.com/guides/api/</x:v>
      </x:c>
      <x:c r="E19" s="65" t="str">
        <x:v>www.contentful.com</x:v>
      </x:c>
      <x:c r="F19" s="65" t="str">
        <x:v>n/a (not returned by endpoint)</x:v>
      </x:c>
    </x:row>
    <x:row r="20">
      <x:c r="A20" s="65" t="str">
        <x:v>what is an api and how does it work</x:v>
      </x:c>
      <x:c r="B20" s="65" t="str">
        <x:v>7</x:v>
      </x:c>
      <x:c r="C20" s="65" t="str">
        <x:v>n/a (not returned by endpoint)</x:v>
      </x:c>
      <x:c r="D20" s="65" t="str">
        <x:v>https://www.geeksforgeeks.org/software-testing/what-is-an-api/</x:v>
      </x:c>
      <x:c r="E20" s="65" t="str">
        <x:v>www.geeksforgeeks.org</x:v>
      </x:c>
      <x:c r="F20" s="65" t="str">
        <x:v>n/a (not returned by endpoint)</x:v>
      </x:c>
    </x:row>
    <x:row r="21">
      <x:c r="A21" s="65" t="str">
        <x:v>what is an api and how does it work</x:v>
      </x:c>
      <x:c r="B21" s="65" t="str">
        <x:v>8</x:v>
      </x:c>
      <x:c r="C21" s="65" t="str">
        <x:v>n/a (not returned by endpoint)</x:v>
      </x:c>
      <x:c r="D21" s="65" t="str">
        <x:v>https://foundryco.com/blog/what-is-an-api/</x:v>
      </x:c>
      <x:c r="E21" s="65" t="str">
        <x:v>foundryco.com</x:v>
      </x:c>
      <x:c r="F21" s="65" t="str">
        <x:v>n/a (not returned by endpoint)</x:v>
      </x:c>
    </x:row>
    <x:row r="22">
      <x:c r="A22" s="65" t="str">
        <x:v>what is an api and how does it work</x:v>
      </x:c>
      <x:c r="B22" s="65" t="str">
        <x:v>9</x:v>
      </x:c>
      <x:c r="C22" s="65" t="str">
        <x:v>n/a (not returned by endpoint)</x:v>
      </x:c>
      <x:c r="D22" s="65" t="str">
        <x:v>https://www.freecodecamp.org/news/how-apis-work/</x:v>
      </x:c>
      <x:c r="E22" s="65" t="str">
        <x:v>www.freecodecamp.org</x:v>
      </x:c>
      <x:c r="F22" s="65" t="str">
        <x:v>n/a (not returned by endpoint)</x:v>
      </x:c>
    </x:row>
    <x:row r="23">
      <x:c r="A23" s="65" t="str">
        <x:v>what is an api and how does it work</x:v>
      </x:c>
      <x:c r="B23" s="65" t="str">
        <x:v>10</x:v>
      </x:c>
      <x:c r="C23" s="65" t="str">
        <x:v>n/a (not returned by endpoint)</x:v>
      </x:c>
      <x:c r="D23" s="65" t="str">
        <x:v>https://www.sap.com/resources/what-is-api</x:v>
      </x:c>
      <x:c r="E23" s="65" t="str">
        <x:v>www.sap.com</x:v>
      </x:c>
      <x:c r="F23" s="65" t="str">
        <x:v>n/a (not returned by endpoint)</x:v>
      </x:c>
    </x:row>
    <x:row r="24">
      <x:c r="A24" s="65" t="str">
        <x:v>how does api integration work</x:v>
      </x:c>
      <x:c r="B24" s="65" t="str">
        <x:v>1</x:v>
      </x:c>
      <x:c r="C24" s="65" t="str">
        <x:v>n/a (not returned by endpoint)</x:v>
      </x:c>
      <x:c r="D24" s="65" t="str">
        <x:v>https://tray.ai/blog/what-is-an-api-integration-for-non-technical-people/</x:v>
      </x:c>
      <x:c r="E24" s="65" t="str">
        <x:v>tray.ai</x:v>
      </x:c>
      <x:c r="F24" s="65" t="str">
        <x:v>n/a (not returned by endpoint)</x:v>
      </x:c>
    </x:row>
    <x:row r="25">
      <x:c r="A25" s="65" t="str">
        <x:v>how does api integration work</x:v>
      </x:c>
      <x:c r="B25" s="65" t="str">
        <x:v>2</x:v>
      </x:c>
      <x:c r="C25" s="65" t="str">
        <x:v>n/a (not returned by endpoint)</x:v>
      </x:c>
      <x:c r="D25" s="65" t="str">
        <x:v>https://www.opentext.com/what-is/api-integration</x:v>
      </x:c>
      <x:c r="E25" s="65" t="str">
        <x:v>www.opentext.com</x:v>
      </x:c>
      <x:c r="F25" s="65" t="str">
        <x:v>n/a (not returned by endpoint)</x:v>
      </x:c>
    </x:row>
    <x:row r="26">
      <x:c r="A26" s="65" t="str">
        <x:v>how does api integration work</x:v>
      </x:c>
      <x:c r="B26" s="65" t="str">
        <x:v>3</x:v>
      </x:c>
      <x:c r="C26" s="65" t="str">
        <x:v>n/a (not returned by endpoint)</x:v>
      </x:c>
      <x:c r="D26" s="65" t="str">
        <x:v>https://www.cleo.com/blog/what-is-api-integration</x:v>
      </x:c>
      <x:c r="E26" s="65" t="str">
        <x:v>www.cleo.com</x:v>
      </x:c>
      <x:c r="F26" s="65" t="str">
        <x:v>n/a (not returned by endpoint)</x:v>
      </x:c>
    </x:row>
    <x:row r="27">
      <x:c r="A27" s="65" t="str">
        <x:v>how does api integration work</x:v>
      </x:c>
      <x:c r="B27" s="65" t="str">
        <x:v>4</x:v>
      </x:c>
      <x:c r="C27" s="65" t="str">
        <x:v>n/a (not returned by endpoint)</x:v>
      </x:c>
      <x:c r="D27" s="65" t="str">
        <x:v>https://www.ibm.com/think/topics/api-integration</x:v>
      </x:c>
      <x:c r="E27" s="65" t="str">
        <x:v>www.ibm.com</x:v>
      </x:c>
      <x:c r="F27" s="65" t="str">
        <x:v>n/a (not returned by endpoint)</x:v>
      </x:c>
    </x:row>
    <x:row r="28">
      <x:c r="A28" s="65" t="str">
        <x:v>how does api integration work</x:v>
      </x:c>
      <x:c r="B28" s="65" t="str">
        <x:v>5</x:v>
      </x:c>
      <x:c r="C28" s="65" t="str">
        <x:v>n/a (not returned by endpoint)</x:v>
      </x:c>
      <x:c r="D28" s="65" t="str">
        <x:v>https://www.geeksforgeeks.org/blogs/what-is-api-integration/</x:v>
      </x:c>
      <x:c r="E28" s="65" t="str">
        <x:v>www.geeksforgeeks.org</x:v>
      </x:c>
      <x:c r="F28" s="65" t="str">
        <x:v>n/a (not returned by endpoint)</x:v>
      </x:c>
    </x:row>
    <x:row r="29">
      <x:c r="A29" s="65" t="str">
        <x:v>how does api integration work</x:v>
      </x:c>
      <x:c r="B29" s="65" t="str">
        <x:v>6</x:v>
      </x:c>
      <x:c r="C29" s="65" t="str">
        <x:v>n/a (not returned by endpoint)</x:v>
      </x:c>
      <x:c r="D29" s="65" t="str">
        <x:v>https://www.workato.com/the-connector/what-is-api-integration/</x:v>
      </x:c>
      <x:c r="E29" s="65" t="str">
        <x:v>www.workato.com</x:v>
      </x:c>
      <x:c r="F29" s="65" t="str">
        <x:v>n/a (not returned by endpoint)</x:v>
      </x:c>
    </x:row>
    <x:row r="30">
      <x:c r="A30" s="65" t="str">
        <x:v>how does api integration work</x:v>
      </x:c>
      <x:c r="B30" s="65" t="str">
        <x:v>7</x:v>
      </x:c>
      <x:c r="C30" s="65" t="str">
        <x:v>n/a (not returned by endpoint)</x:v>
      </x:c>
      <x:c r="D30" s="65" t="str">
        <x:v>https://www.gend.co/blog/what-is-api-integration-a-guide-for-non-technical-people</x:v>
      </x:c>
      <x:c r="E30" s="65" t="str">
        <x:v>www.gend.co</x:v>
      </x:c>
      <x:c r="F30" s="65" t="str">
        <x:v>n/a (not returned by endpoint)</x:v>
      </x:c>
    </x:row>
    <x:row r="31">
      <x:c r="A31" s="65" t="str">
        <x:v>how does api integration work</x:v>
      </x:c>
      <x:c r="B31" s="65" t="str">
        <x:v>8</x:v>
      </x:c>
      <x:c r="C31" s="65" t="str">
        <x:v>n/a (not returned by endpoint)</x:v>
      </x:c>
      <x:c r="D31" s="65" t="str">
        <x:v>https://www.servicenow.com/workflows/creator-workflows/what-is-api-integration.html</x:v>
      </x:c>
      <x:c r="E31" s="65" t="str">
        <x:v>www.servicenow.com</x:v>
      </x:c>
      <x:c r="F31" s="65" t="str">
        <x:v>n/a (not returned by endpoint)</x:v>
      </x:c>
    </x:row>
    <x:row r="32">
      <x:c r="A32" s="65" t="str">
        <x:v>how does api integration work</x:v>
      </x:c>
      <x:c r="B32" s="65" t="str">
        <x:v>9</x:v>
      </x:c>
      <x:c r="C32" s="65" t="str">
        <x:v>n/a (not returned by endpoint)</x:v>
      </x:c>
      <x:c r="D32" s="65" t="str">
        <x:v>https://zapier.com/blog/api-integration/</x:v>
      </x:c>
      <x:c r="E32" s="65" t="str">
        <x:v>zapier.com</x:v>
      </x:c>
      <x:c r="F32" s="65" t="str">
        <x:v>n/a (not returned by endpoint)</x:v>
      </x:c>
    </x:row>
    <x:row r="33">
      <x:c r="A33" s="65" t="str">
        <x:v>how does api integration work</x:v>
      </x:c>
      <x:c r="B33" s="65" t="str">
        <x:v>10</x:v>
      </x:c>
      <x:c r="C33" s="65" t="str">
        <x:v>n/a (not returned by endpoint)</x:v>
      </x:c>
      <x:c r="D33" s="65" t="str">
        <x:v>https://www.merge.dev/blog/api-integration-process</x:v>
      </x:c>
      <x:c r="E33" s="65" t="str">
        <x:v>www.merge.dev</x:v>
      </x:c>
      <x:c r="F33" s="65" t="str">
        <x:v>n/a (not returned by endpoint)</x:v>
      </x:c>
    </x:row>
    <x:row r="34">
      <x:c r="A34" s="65" t="str">
        <x:v>webhooks vs api</x:v>
      </x:c>
      <x:c r="B34" s="65" t="str">
        <x:v>1</x:v>
      </x:c>
      <x:c r="C34" s="65" t="str">
        <x:v>n/a (not returned by endpoint)</x:v>
      </x:c>
      <x:c r="D34" s="65" t="str">
        <x:v>https://www.reddit.com/r/webdev/comments/d6o9j4/whats_the_difference_between_a_webhook_and_api/</x:v>
      </x:c>
      <x:c r="E34" s="65" t="str">
        <x:v>www.reddit.com</x:v>
      </x:c>
      <x:c r="F34" s="65" t="str">
        <x:v>n/a (not returned by endpoint)</x:v>
      </x:c>
    </x:row>
    <x:row r="35">
      <x:c r="A35" s="65" t="str">
        <x:v>webhooks vs api</x:v>
      </x:c>
      <x:c r="B35" s="65" t="str">
        <x:v>2</x:v>
      </x:c>
      <x:c r="C35" s="65" t="str">
        <x:v>n/a (not returned by endpoint)</x:v>
      </x:c>
      <x:c r="D35" s="65" t="str">
        <x:v>https://www.mparticle.com/blog/apis-vs-webhooks/</x:v>
      </x:c>
      <x:c r="E35" s="65" t="str">
        <x:v>www.mparticle.com</x:v>
      </x:c>
      <x:c r="F35" s="65" t="str">
        <x:v>n/a (not returned by endpoint)</x:v>
      </x:c>
    </x:row>
    <x:row r="36">
      <x:c r="A36" s="65" t="str">
        <x:v>webhooks vs api</x:v>
      </x:c>
      <x:c r="B36" s="65" t="str">
        <x:v>3</x:v>
      </x:c>
      <x:c r="C36" s="65" t="str">
        <x:v>n/a (not returned by endpoint)</x:v>
      </x:c>
      <x:c r="D36" s="65" t="str">
        <x:v>https://zapier.com/blog/webhook-vs-api/</x:v>
      </x:c>
      <x:c r="E36" s="65" t="str">
        <x:v>zapier.com</x:v>
      </x:c>
      <x:c r="F36" s="65" t="str">
        <x:v>n/a (not returned by endpoint)</x:v>
      </x:c>
    </x:row>
    <x:row r="37">
      <x:c r="A37" s="65" t="str">
        <x:v>webhooks vs api</x:v>
      </x:c>
      <x:c r="B37" s="65" t="str">
        <x:v>4</x:v>
      </x:c>
      <x:c r="C37" s="65" t="str">
        <x:v>n/a (not returned by endpoint)</x:v>
      </x:c>
      <x:c r="D37" s="65" t="str">
        <x:v>https://www.akamai.com/glossary/what-is-an-api-vs-webhook-vs-websocket</x:v>
      </x:c>
      <x:c r="E37" s="65" t="str">
        <x:v>www.akamai.com</x:v>
      </x:c>
      <x:c r="F37" s="65" t="str">
        <x:v>n/a (not returned by endpoint)</x:v>
      </x:c>
    </x:row>
    <x:row r="38">
      <x:c r="A38" s="65" t="str">
        <x:v>webhooks vs api</x:v>
      </x:c>
      <x:c r="B38" s="65" t="str">
        <x:v>5</x:v>
      </x:c>
      <x:c r="C38" s="65" t="str">
        <x:v>n/a (not returned by endpoint)</x:v>
      </x:c>
      <x:c r="D38" s="65" t="str">
        <x:v>https://www.twilio.com/en-us/blog/insights/webhook-vs-api-whats-difference</x:v>
      </x:c>
      <x:c r="E38" s="65" t="str">
        <x:v>www.twilio.com</x:v>
      </x:c>
      <x:c r="F38" s="65" t="str">
        <x:v>n/a (not returned by endpoint)</x:v>
      </x:c>
    </x:row>
    <x:row r="39">
      <x:c r="A39" s="65" t="str">
        <x:v>webhooks vs api</x:v>
      </x:c>
      <x:c r="B39" s="65" t="str">
        <x:v>6</x:v>
      </x:c>
      <x:c r="C39" s="65" t="str">
        <x:v>n/a (not returned by endpoint)</x:v>
      </x:c>
      <x:c r="D39" s="65" t="str">
        <x:v>https://stytch.com/blog/webhooks-vs-apis/</x:v>
      </x:c>
      <x:c r="E39" s="65" t="str">
        <x:v>stytch.com</x:v>
      </x:c>
      <x:c r="F39" s="65" t="str">
        <x:v>n/a (not returned by endpoint)</x:v>
      </x:c>
    </x:row>
    <x:row r="40">
      <x:c r="A40" s="65" t="str">
        <x:v>webhooks vs api</x:v>
      </x:c>
      <x:c r="B40" s="65" t="str">
        <x:v>7</x:v>
      </x:c>
      <x:c r="C40" s="65" t="str">
        <x:v>n/a (not returned by endpoint)</x:v>
      </x:c>
      <x:c r="D40" s="65" t="str">
        <x:v>https://mailchimp.com/resources/webhook-vs-api/</x:v>
      </x:c>
      <x:c r="E40" s="65" t="str">
        <x:v>mailchimp.com</x:v>
      </x:c>
      <x:c r="F40" s="65" t="str">
        <x:v>n/a (not returned by endpoint)</x:v>
      </x:c>
    </x:row>
    <x:row r="41">
      <x:c r="A41" s="65" t="str">
        <x:v>webhooks vs api</x:v>
      </x:c>
      <x:c r="B41" s="65" t="str">
        <x:v>8</x:v>
      </x:c>
      <x:c r="C41" s="65" t="str">
        <x:v>n/a (not returned by endpoint)</x:v>
      </x:c>
      <x:c r="D41" s="65" t="str">
        <x:v>https://community.postman.com/t/webhook-or-api-it-depends-here-s-how-to-decide/78741</x:v>
      </x:c>
      <x:c r="E41" s="65" t="str">
        <x:v>community.postman.com</x:v>
      </x:c>
      <x:c r="F41" s="65" t="str">
        <x:v>n/a (not returned by endpoint)</x:v>
      </x:c>
    </x:row>
    <x:row r="42">
      <x:c r="A42" s="65" t="str">
        <x:v>webhooks vs api</x:v>
      </x:c>
      <x:c r="B42" s="65" t="str">
        <x:v>9</x:v>
      </x:c>
      <x:c r="C42" s="65" t="str">
        <x:v>n/a (not returned by endpoint)</x:v>
      </x:c>
      <x:c r="D42" s="65" t="str">
        <x:v>https://www.rudderstack.com/blog/webhook-vs-api/</x:v>
      </x:c>
      <x:c r="E42" s="65" t="str">
        <x:v>www.rudderstack.com</x:v>
      </x:c>
      <x:c r="F42" s="65" t="str">
        <x:v>n/a (not returned by endpoint)</x:v>
      </x:c>
    </x:row>
    <x:row r="43">
      <x:c r="A43" s="65" t="str">
        <x:v>webhooks vs api</x:v>
      </x:c>
      <x:c r="B43" s="65" t="str">
        <x:v>10</x:v>
      </x:c>
      <x:c r="C43" s="65" t="str">
        <x:v>n/a (not returned by endpoint)</x:v>
      </x:c>
      <x:c r="D43" s="65" t="str">
        <x:v>https://www.merge.dev/blog/rest-api-vs-webhooks</x:v>
      </x:c>
      <x:c r="E43" s="65" t="str">
        <x:v>www.merge.dev</x:v>
      </x:c>
      <x:c r="F43" s="65" t="str">
        <x:v>n/a (not returned by endpoint)</x:v>
      </x:c>
    </x:row>
    <x:row r="44">
      <x:c r="A44" s="65" t="str">
        <x:v>how does ci cd pipeline work</x:v>
      </x:c>
      <x:c r="B44" s="65" t="str">
        <x:v>1</x:v>
      </x:c>
      <x:c r="C44" s="65" t="str">
        <x:v>n/a (not returned by endpoint)</x:v>
      </x:c>
      <x:c r="D44" s="65" t="str">
        <x:v>https://about.gitlab.com/topics/ci-cd/cicd-pipeline/</x:v>
      </x:c>
      <x:c r="E44" s="65" t="str">
        <x:v>about.gitlab.com</x:v>
      </x:c>
      <x:c r="F44" s="65" t="str">
        <x:v>n/a (not returned by endpoint)</x:v>
      </x:c>
    </x:row>
    <x:row r="45">
      <x:c r="A45" s="65" t="str">
        <x:v>how does ci cd pipeline work</x:v>
      </x:c>
      <x:c r="B45" s="65" t="str">
        <x:v>2</x:v>
      </x:c>
      <x:c r="C45" s="65" t="str">
        <x:v>n/a (not returned by endpoint)</x:v>
      </x:c>
      <x:c r="D45" s="65" t="str">
        <x:v>https://www.reddit.com/r/dataengineering/comments/xxv4sm/can_someone_please_explain_me_what_cicd_is_and/</x:v>
      </x:c>
      <x:c r="E45" s="65" t="str">
        <x:v>www.reddit.com</x:v>
      </x:c>
      <x:c r="F45" s="65" t="str">
        <x:v>n/a (not returned by endpoint)</x:v>
      </x:c>
    </x:row>
    <x:row r="46">
      <x:c r="A46" s="65" t="str">
        <x:v>how does ci cd pipeline work</x:v>
      </x:c>
      <x:c r="B46" s="65" t="str">
        <x:v>3</x:v>
      </x:c>
      <x:c r="C46" s="65" t="str">
        <x:v>n/a (not returned by endpoint)</x:v>
      </x:c>
      <x:c r="D46" s="65" t="str">
        <x:v>https://www.geeksforgeeks.org/devops/what-is-ci-cd/</x:v>
      </x:c>
      <x:c r="E46" s="65" t="str">
        <x:v>www.geeksforgeeks.org</x:v>
      </x:c>
      <x:c r="F46" s="65" t="str">
        <x:v>n/a (not returned by endpoint)</x:v>
      </x:c>
    </x:row>
    <x:row r="47">
      <x:c r="A47" s="65" t="str">
        <x:v>how does ci cd pipeline work</x:v>
      </x:c>
      <x:c r="B47" s="65" t="str">
        <x:v>4</x:v>
      </x:c>
      <x:c r="C47" s="65" t="str">
        <x:v>n/a (not returned by endpoint)</x:v>
      </x:c>
      <x:c r="D47" s="65" t="str">
        <x:v>https://www.ibm.com/think/topics/ci-cd-pipeline</x:v>
      </x:c>
      <x:c r="E47" s="65" t="str">
        <x:v>www.ibm.com</x:v>
      </x:c>
      <x:c r="F47" s="65" t="str">
        <x:v>n/a (not returned by endpoint)</x:v>
      </x:c>
    </x:row>
    <x:row r="48">
      <x:c r="A48" s="65" t="str">
        <x:v>how does ci cd pipeline work</x:v>
      </x:c>
      <x:c r="B48" s="65" t="str">
        <x:v>5</x:v>
      </x:c>
      <x:c r="C48" s="65" t="str">
        <x:v>n/a (not returned by endpoint)</x:v>
      </x:c>
      <x:c r="D48" s="65" t="str">
        <x:v>https://brandonkindred.medium.com/the-beginners-guide-to-ci-cd-pipelines-b04740b509fa</x:v>
      </x:c>
      <x:c r="E48" s="65" t="str">
        <x:v>brandonkindred.medium.com</x:v>
      </x:c>
      <x:c r="F48" s="65" t="str">
        <x:v>n/a (not returned by endpoint)</x:v>
      </x:c>
    </x:row>
    <x:row r="49">
      <x:c r="A49" s="65" t="str">
        <x:v>how does ci cd pipeline work</x:v>
      </x:c>
      <x:c r="B49" s="65" t="str">
        <x:v>6</x:v>
      </x:c>
      <x:c r="C49" s="65" t="str">
        <x:v>n/a (not returned by endpoint)</x:v>
      </x:c>
      <x:c r="D49" s="65" t="str">
        <x:v>https://www.incredibuild.com/blog/what-is-a-ci-cd-pipeline</x:v>
      </x:c>
      <x:c r="E49" s="65" t="str">
        <x:v>www.incredibuild.com</x:v>
      </x:c>
      <x:c r="F49" s="65" t="str">
        <x:v>n/a (not returned by endpoint)</x:v>
      </x:c>
    </x:row>
    <x:row r="50">
      <x:c r="A50" s="65" t="str">
        <x:v>how does ci cd pipeline work</x:v>
      </x:c>
      <x:c r="B50" s="65" t="str">
        <x:v>7</x:v>
      </x:c>
      <x:c r="C50" s="65" t="str">
        <x:v>n/a (not returned by endpoint)</x:v>
      </x:c>
      <x:c r="D50" s="65" t="str">
        <x:v>https://www.harness.io/blog/ci-cd-pipeline</x:v>
      </x:c>
      <x:c r="E50" s="65" t="str">
        <x:v>www.harness.io</x:v>
      </x:c>
      <x:c r="F50" s="65" t="str">
        <x:v>n/a (not returned by endpoint)</x:v>
      </x:c>
    </x:row>
    <x:row r="51">
      <x:c r="A51" s="65" t="str">
        <x:v>how does ci cd pipeline work</x:v>
      </x:c>
      <x:c r="B51" s="65" t="str">
        <x:v>8</x:v>
      </x:c>
      <x:c r="C51" s="65" t="str">
        <x:v>n/a (not returned by endpoint)</x:v>
      </x:c>
      <x:c r="D51" s="65" t="str">
        <x:v>https://www.redhat.com/en/topics/devops/what-cicd-pipeline</x:v>
      </x:c>
      <x:c r="E51" s="65" t="str">
        <x:v>www.redhat.com</x:v>
      </x:c>
      <x:c r="F51" s="65" t="str">
        <x:v>n/a (not returned by endpoint)</x:v>
      </x:c>
    </x:row>
    <x:row r="52">
      <x:c r="A52" s="65" t="str">
        <x:v>how does ci cd pipeline work</x:v>
      </x:c>
      <x:c r="B52" s="65" t="str">
        <x:v>9</x:v>
      </x:c>
      <x:c r="C52" s="65" t="str">
        <x:v>n/a (not returned by endpoint)</x:v>
      </x:c>
      <x:c r="D52" s="65" t="str">
        <x:v>https://circleci.com/blog/what-is-a-ci-cd-pipeline/</x:v>
      </x:c>
      <x:c r="E52" s="65" t="str">
        <x:v>circleci.com</x:v>
      </x:c>
      <x:c r="F52" s="65" t="str">
        <x:v>n/a (not returned by endpoint)</x:v>
      </x:c>
    </x:row>
    <x:row r="53">
      <x:c r="A53" s="65" t="str">
        <x:v>how does ci cd pipeline work</x:v>
      </x:c>
      <x:c r="B53" s="65" t="str">
        <x:v>10</x:v>
      </x:c>
      <x:c r="C53" s="65" t="str">
        <x:v>n/a (not returned by endpoint)</x:v>
      </x:c>
      <x:c r="D53" s="65" t="str">
        <x:v>https://www.microsoft.com/en-us/software-development-companies/resources/articles/ci-cd-pipeline-guide</x:v>
      </x:c>
      <x:c r="E53" s="65" t="str">
        <x:v>www.microsoft.com</x:v>
      </x:c>
      <x:c r="F53" s="65" t="str">
        <x:v>n/a (not returned by endpoint)</x:v>
      </x:c>
    </x:row>
    <x:row r="54">
      <x:c r="A54" s="65" t="str">
        <x:v>staging vs production</x:v>
      </x:c>
      <x:c r="B54" s="65" t="str">
        <x:v>1</x:v>
      </x:c>
      <x:c r="C54" s="65" t="str">
        <x:v>n/a (not returned by endpoint)</x:v>
      </x:c>
      <x:c r="D54" s="65" t="str">
        <x:v>https://www.reddit.com/r/devops/comments/1bq5v44/help_on_understanding_dev_staging_and_prod/</x:v>
      </x:c>
      <x:c r="E54" s="65" t="str">
        <x:v>www.reddit.com</x:v>
      </x:c>
      <x:c r="F54" s="65" t="str">
        <x:v>n/a (not returned by endpoint)</x:v>
      </x:c>
    </x:row>
    <x:row r="55">
      <x:c r="A55" s="65" t="str">
        <x:v>staging vs production</x:v>
      </x:c>
      <x:c r="B55" s="65" t="str">
        <x:v>2</x:v>
      </x:c>
      <x:c r="C55" s="65" t="str">
        <x:v>n/a (not returned by endpoint)</x:v>
      </x:c>
      <x:c r="D55" s="65" t="str">
        <x:v>https://dev.to/flippedcoding/difference-between-development-stage-and-production-d0p</x:v>
      </x:c>
      <x:c r="E55" s="65" t="str">
        <x:v>dev.to</x:v>
      </x:c>
      <x:c r="F55" s="65" t="str">
        <x:v>n/a (not returned by endpoint)</x:v>
      </x:c>
    </x:row>
    <x:row r="56">
      <x:c r="A56" s="65" t="str">
        <x:v>staging vs production</x:v>
      </x:c>
      <x:c r="B56" s="65" t="str">
        <x:v>3</x:v>
      </x:c>
      <x:c r="C56" s="65" t="str">
        <x:v>n/a (not returned by endpoint)</x:v>
      </x:c>
      <x:c r="D56" s="65" t="str">
        <x:v>https://www.servermania.com/kb/articles/production-development-staging</x:v>
      </x:c>
      <x:c r="E56" s="65" t="str">
        <x:v>www.servermania.com</x:v>
      </x:c>
      <x:c r="F56" s="65" t="str">
        <x:v>n/a (not returned by endpoint)</x:v>
      </x:c>
    </x:row>
    <x:row r="57">
      <x:c r="A57" s="65" t="str">
        <x:v>staging vs production</x:v>
      </x:c>
      <x:c r="B57" s="65" t="str">
        <x:v>4</x:v>
      </x:c>
      <x:c r="C57" s="65" t="str">
        <x:v>n/a (not returned by endpoint)</x:v>
      </x:c>
      <x:c r="D57" s="65" t="str">
        <x:v>https://www.statsig.com/perspectives/dev-vs-staging-vs-prod</x:v>
      </x:c>
      <x:c r="E57" s="65" t="str">
        <x:v>www.statsig.com</x:v>
      </x:c>
      <x:c r="F57" s="65" t="str">
        <x:v>n/a (not returned by endpoint)</x:v>
      </x:c>
    </x:row>
    <x:row r="58">
      <x:c r="A58" s="65" t="str">
        <x:v>staging vs production</x:v>
      </x:c>
      <x:c r="B58" s="65" t="str">
        <x:v>5</x:v>
      </x:c>
      <x:c r="C58" s="65" t="str">
        <x:v>n/a (not returned by endpoint)</x:v>
      </x:c>
      <x:c r="D58" s="65" t="str">
        <x:v>https://keploy.io/blog/community/staging-vs-production-key-differences-explained</x:v>
      </x:c>
      <x:c r="E58" s="65" t="str">
        <x:v>keploy.io</x:v>
      </x:c>
      <x:c r="F58" s="65" t="str">
        <x:v>n/a (not returned by endpoint)</x:v>
      </x:c>
    </x:row>
    <x:row r="59">
      <x:c r="A59" s="65" t="str">
        <x:v>staging vs production</x:v>
      </x:c>
      <x:c r="B59" s="65" t="str">
        <x:v>6</x:v>
      </x:c>
      <x:c r="C59" s="65" t="str">
        <x:v>n/a (not returned by endpoint)</x:v>
      </x:c>
      <x:c r="D59" s="65" t="str">
        <x:v>https://zerogravitymarketing.com/blog/difference-between-staging-production-live-sites</x:v>
      </x:c>
      <x:c r="E59" s="65" t="str">
        <x:v>zerogravitymarketing.com</x:v>
      </x:c>
      <x:c r="F59" s="65" t="str">
        <x:v>n/a (not returned by endpoint)</x:v>
      </x:c>
    </x:row>
    <x:row r="60">
      <x:c r="A60" s="65" t="str">
        <x:v>staging vs production</x:v>
      </x:c>
      <x:c r="B60" s="65" t="str">
        <x:v>7</x:v>
      </x:c>
      <x:c r="C60" s="65" t="str">
        <x:v>n/a (not returned by endpoint)</x:v>
      </x:c>
      <x:c r="D60" s="65" t="str">
        <x:v>https://community.weweb.io/t/staging-vs-production-environment/14003</x:v>
      </x:c>
      <x:c r="E60" s="65" t="str">
        <x:v>community.weweb.io</x:v>
      </x:c>
      <x:c r="F60" s="65" t="str">
        <x:v>n/a (not returned by endpoint)</x:v>
      </x:c>
    </x:row>
    <x:row r="61">
      <x:c r="A61" s="65" t="str">
        <x:v>staging vs production</x:v>
      </x:c>
      <x:c r="B61" s="65" t="str">
        <x:v>8</x:v>
      </x:c>
      <x:c r="C61" s="65" t="str">
        <x:v>n/a (not returned by endpoint)</x:v>
      </x:c>
      <x:c r="D61" s="65" t="str">
        <x:v>https://softwareengineering.stackexchange.com/questions/429022/configuration-of-a-staging-environment-vs-production-environment</x:v>
      </x:c>
      <x:c r="E61" s="65" t="str">
        <x:v>softwareengineering.stackexchange.com</x:v>
      </x:c>
      <x:c r="F61" s="65" t="str">
        <x:v>n/a (not returned by endpoint)</x:v>
      </x:c>
    </x:row>
    <x:row r="62">
      <x:c r="A62" s="65" t="str">
        <x:v>staging vs production</x:v>
      </x:c>
      <x:c r="B62" s="65" t="str">
        <x:v>9</x:v>
      </x:c>
      <x:c r="C62" s="65" t="str">
        <x:v>n/a (not returned by endpoint)</x:v>
      </x:c>
      <x:c r="D62" s="65" t="str">
        <x:v>https://stackoverflow.com/questions/2391651/what-is-the-main-purpose-and-sense-to-have-staging-server-the-same-as-production</x:v>
      </x:c>
      <x:c r="E62" s="65" t="str">
        <x:v>stackoverflow.com</x:v>
      </x:c>
      <x:c r="F62" s="65" t="str">
        <x:v>n/a (not returned by endpoint)</x:v>
      </x:c>
    </x:row>
    <x:row r="63">
      <x:c r="A63" s="65" t="str">
        <x:v>staging vs production</x:v>
      </x:c>
      <x:c r="B63" s="65" t="str">
        <x:v>10</x:v>
      </x:c>
      <x:c r="C63" s="65" t="str">
        <x:v>n/a (not returned by endpoint)</x:v>
      </x:c>
      <x:c r="D63" s="65" t="str">
        <x:v>https://en.wikipedia.org/wiki/Deployment_environment</x:v>
      </x:c>
      <x:c r="E63" s="65" t="str">
        <x:v>en.wikipedia.org</x:v>
      </x:c>
      <x:c r="F63" s="65" t="str">
        <x:v>n/a (not returned by endpoint)</x:v>
      </x:c>
    </x:row>
    <x:row r="64">
      <x:c r="A64" s="65" t="str">
        <x:v>what is technical debt in software development</x:v>
      </x:c>
      <x:c r="B64" s="65" t="str">
        <x:v>1</x:v>
      </x:c>
      <x:c r="C64" s="65" t="str">
        <x:v>n/a (not returned by endpoint)</x:v>
      </x:c>
      <x:c r="D64" s="65" t="str">
        <x:v>https://www.reddit.com/r/SoftwareEngineering/comments/1235mru/in_your_own_words_what_is_technical_debt/</x:v>
      </x:c>
      <x:c r="E64" s="65" t="str">
        <x:v>www.reddit.com</x:v>
      </x:c>
      <x:c r="F64" s="65" t="str">
        <x:v>n/a (not returned by endpoint)</x:v>
      </x:c>
    </x:row>
    <x:row r="65">
      <x:c r="A65" s="65" t="str">
        <x:v>what is technical debt in software development</x:v>
      </x:c>
      <x:c r="B65" s="65" t="str">
        <x:v>2</x:v>
      </x:c>
      <x:c r="C65" s="65" t="str">
        <x:v>n/a (not returned by endpoint)</x:v>
      </x:c>
      <x:c r="D65" s="65" t="str">
        <x:v>https://www.ibm.com/think/topics/technical-debt</x:v>
      </x:c>
      <x:c r="E65" s="65" t="str">
        <x:v>www.ibm.com</x:v>
      </x:c>
      <x:c r="F65" s="65" t="str">
        <x:v>n/a (not returned by endpoint)</x:v>
      </x:c>
    </x:row>
    <x:row r="66">
      <x:c r="A66" s="65" t="str">
        <x:v>what is technical debt in software development</x:v>
      </x:c>
      <x:c r="B66" s="65" t="str">
        <x:v>3</x:v>
      </x:c>
      <x:c r="C66" s="65" t="str">
        <x:v>n/a (not returned by endpoint)</x:v>
      </x:c>
      <x:c r="D66" s="65" t="str">
        <x:v>https://github.com/resources/articles/what-is-technical-debt</x:v>
      </x:c>
      <x:c r="E66" s="65" t="str">
        <x:v>github.com</x:v>
      </x:c>
      <x:c r="F66" s="65" t="str">
        <x:v>n/a (not returned by endpoint)</x:v>
      </x:c>
    </x:row>
    <x:row r="67">
      <x:c r="A67" s="65" t="str">
        <x:v>what is technical debt in software development</x:v>
      </x:c>
      <x:c r="B67" s="65" t="str">
        <x:v>4</x:v>
      </x:c>
      <x:c r="C67" s="65" t="str">
        <x:v>n/a (not returned by endpoint)</x:v>
      </x:c>
      <x:c r="D67" s="65" t="str">
        <x:v>https://www.atlassian.com/agile/software-development/technical-debt</x:v>
      </x:c>
      <x:c r="E67" s="65" t="str">
        <x:v>www.atlassian.com</x:v>
      </x:c>
      <x:c r="F67" s="65" t="str">
        <x:v>n/a (not returned by endpoint)</x:v>
      </x:c>
    </x:row>
    <x:row r="68">
      <x:c r="A68" s="65" t="str">
        <x:v>what is technical debt in software development</x:v>
      </x:c>
      <x:c r="B68" s="65" t="str">
        <x:v>5</x:v>
      </x:c>
      <x:c r="C68" s="65" t="str">
        <x:v>n/a (not returned by endpoint)</x:v>
      </x:c>
      <x:c r="D68" s="65" t="str">
        <x:v>https://en.wikipedia.org/wiki/Technical_debt</x:v>
      </x:c>
      <x:c r="E68" s="65" t="str">
        <x:v>en.wikipedia.org</x:v>
      </x:c>
      <x:c r="F68" s="65" t="str">
        <x:v>n/a (not returned by endpoint)</x:v>
      </x:c>
    </x:row>
    <x:row r="69">
      <x:c r="A69" s="65" t="str">
        <x:v>what is technical debt in software development</x:v>
      </x:c>
      <x:c r="B69" s="65" t="str">
        <x:v>6</x:v>
      </x:c>
      <x:c r="C69" s="65" t="str">
        <x:v>n/a (not returned by endpoint)</x:v>
      </x:c>
      <x:c r="D69" s="65" t="str">
        <x:v>https://medium.com/@raphael.moutard/the-controversial-truth-about-tech-debt-09ad0f787888</x:v>
      </x:c>
      <x:c r="E69" s="65" t="str">
        <x:v>medium.com</x:v>
      </x:c>
      <x:c r="F69" s="65" t="str">
        <x:v>n/a (not returned by endpoint)</x:v>
      </x:c>
    </x:row>
    <x:row r="70">
      <x:c r="A70" s="65" t="str">
        <x:v>what is technical debt in software development</x:v>
      </x:c>
      <x:c r="B70" s="65" t="str">
        <x:v>7</x:v>
      </x:c>
      <x:c r="C70" s="65" t="str">
        <x:v>n/a (not returned by endpoint)</x:v>
      </x:c>
      <x:c r="D70" s="65" t="str">
        <x:v>https://medium.com/@raphael.moutard/the-controversial-truth-about-tech-debt-09ad0f787888</x:v>
      </x:c>
      <x:c r="E70" s="65" t="str">
        <x:v>medium.com</x:v>
      </x:c>
      <x:c r="F70" s="65" t="str">
        <x:v>n/a (not returned by endpoint)</x:v>
      </x:c>
    </x:row>
    <x:row r="71">
      <x:c r="A71" s="65" t="str">
        <x:v>what is technical debt in software development</x:v>
      </x:c>
      <x:c r="B71" s="65" t="str">
        <x:v>8</x:v>
      </x:c>
      <x:c r="C71" s="65" t="str">
        <x:v>n/a (not returned by endpoint)</x:v>
      </x:c>
      <x:c r="D71" s="65" t="str">
        <x:v>https://www.coursera.org/articles/technical-debt</x:v>
      </x:c>
      <x:c r="E71" s="65" t="str">
        <x:v>www.coursera.org</x:v>
      </x:c>
      <x:c r="F71" s="65" t="str">
        <x:v>n/a (not returned by endpoint)</x:v>
      </x:c>
    </x:row>
    <x:row r="72">
      <x:c r="A72" s="65" t="str">
        <x:v>what is technical debt in software development</x:v>
      </x:c>
      <x:c r="B72" s="65" t="str">
        <x:v>9</x:v>
      </x:c>
      <x:c r="C72" s="65" t="str">
        <x:v>n/a (not returned by endpoint)</x:v>
      </x:c>
      <x:c r="D72" s="65" t="str">
        <x:v>https://vfunction.com/blog/what-is-technical-debt/</x:v>
      </x:c>
      <x:c r="E72" s="65" t="str">
        <x:v>vfunction.com</x:v>
      </x:c>
      <x:c r="F72" s="65" t="str">
        <x:v>n/a (not returned by endpoint)</x:v>
      </x:c>
    </x:row>
    <x:row r="73">
      <x:c r="A73" s="65" t="str">
        <x:v>what is technical debt in software development</x:v>
      </x:c>
      <x:c r="B73" s="65" t="str">
        <x:v>10</x:v>
      </x:c>
      <x:c r="C73" s="65" t="str">
        <x:v>n/a (not returned by endpoint)</x:v>
      </x:c>
      <x:c r="D73" s="65" t="str">
        <x:v>https://www.youtube.com/watch?v=wRwa02Vac1U</x:v>
      </x:c>
      <x:c r="E73" s="65" t="str">
        <x:v>www.youtube.com</x:v>
      </x:c>
      <x:c r="F73" s="65" t="str">
        <x:v>n/a (not returned by endpoint)</x:v>
      </x:c>
    </x:row>
    <x:row r="74">
      <x:c r="A74" s="65" t="str">
        <x:v>mvp vs prototype vs poc</x:v>
      </x:c>
      <x:c r="B74" s="65" t="str">
        <x:v>1</x:v>
      </x:c>
      <x:c r="C74" s="65" t="str">
        <x:v>n/a (not returned by endpoint)</x:v>
      </x:c>
      <x:c r="D74" s="65" t="str">
        <x:v>https://www.mvphealthcare.com/en</x:v>
      </x:c>
      <x:c r="E74" s="65" t="str">
        <x:v>www.mvphealthcare.com</x:v>
      </x:c>
      <x:c r="F74" s="65" t="str">
        <x:v>n/a (not returned by endpoint)</x:v>
      </x:c>
    </x:row>
    <x:row r="75">
      <x:c r="A75" s="65" t="str">
        <x:v>mvp vs prototype vs poc</x:v>
      </x:c>
      <x:c r="B75" s="65" t="str">
        <x:v>2</x:v>
      </x:c>
      <x:c r="C75" s="65" t="str">
        <x:v>n/a (not returned by endpoint)</x:v>
      </x:c>
      <x:c r="D75" s="65" t="str">
        <x:v>https://www.mvp.va.gov/pwa/</x:v>
      </x:c>
      <x:c r="E75" s="65" t="str">
        <x:v>www.mvp.va.gov</x:v>
      </x:c>
      <x:c r="F75" s="65" t="str">
        <x:v>n/a (not returned by endpoint)</x:v>
      </x:c>
    </x:row>
    <x:row r="76">
      <x:c r="A76" s="65" t="str">
        <x:v>mvp vs prototype vs poc</x:v>
      </x:c>
      <x:c r="B76" s="65" t="str">
        <x:v>3</x:v>
      </x:c>
      <x:c r="C76" s="65" t="str">
        <x:v>n/a (not returned by endpoint)</x:v>
      </x:c>
      <x:c r="D76" s="65" t="str">
        <x:v>https://agilealliance.org/glossary/mvp/</x:v>
      </x:c>
      <x:c r="E76" s="65" t="str">
        <x:v>agilealliance.org</x:v>
      </x:c>
      <x:c r="F76" s="65" t="str">
        <x:v>n/a (not returned by endpoint)</x:v>
      </x:c>
    </x:row>
    <x:row r="77">
      <x:c r="A77" s="65" t="str">
        <x:v>mvp vs prototype vs poc</x:v>
      </x:c>
      <x:c r="B77" s="65" t="str">
        <x:v>4</x:v>
      </x:c>
      <x:c r="C77" s="65" t="str">
        <x:v>n/a (not returned by endpoint)</x:v>
      </x:c>
      <x:c r="D77" s="65" t="str">
        <x:v>https://en.wikipedia.org/wiki/Minimum_viable_product</x:v>
      </x:c>
      <x:c r="E77" s="65" t="str">
        <x:v>en.wikipedia.org</x:v>
      </x:c>
      <x:c r="F77" s="65" t="str">
        <x:v>n/a (not returned by endpoint)</x:v>
      </x:c>
    </x:row>
    <x:row r="78">
      <x:c r="A78" s="65" t="str">
        <x:v>mvp vs prototype vs poc</x:v>
      </x:c>
      <x:c r="B78" s="65" t="str">
        <x:v>5</x:v>
      </x:c>
      <x:c r="C78" s="65" t="str">
        <x:v>n/a (not returned by endpoint)</x:v>
      </x:c>
      <x:c r="D78" s="65" t="str">
        <x:v>https://www.mvpsportsclubs.com/</x:v>
      </x:c>
      <x:c r="E78" s="65" t="str">
        <x:v>www.mvpsportsclubs.com</x:v>
      </x:c>
      <x:c r="F78" s="65" t="str">
        <x:v>n/a (not returned by endpoint)</x:v>
      </x:c>
    </x:row>
    <x:row r="79">
      <x:c r="A79" s="65" t="str">
        <x:v>mvp vs prototype vs poc</x:v>
      </x:c>
      <x:c r="B79" s="65" t="str">
        <x:v>6</x:v>
      </x:c>
      <x:c r="C79" s="65" t="str">
        <x:v>n/a (not returned by endpoint)</x:v>
      </x:c>
      <x:c r="D79" s="65" t="str">
        <x:v>https://vetsandplayers.org/</x:v>
      </x:c>
      <x:c r="E79" s="65" t="str">
        <x:v>vetsandplayers.org</x:v>
      </x:c>
      <x:c r="F79" s="65" t="str">
        <x:v>n/a (not returned by endpoint)</x:v>
      </x:c>
    </x:row>
    <x:row r="80">
      <x:c r="A80" s="65" t="str">
        <x:v>mvp vs prototype vs poc</x:v>
      </x:c>
      <x:c r="B80" s="65" t="str">
        <x:v>7</x:v>
      </x:c>
      <x:c r="C80" s="65" t="str">
        <x:v>n/a (not returned by endpoint)</x:v>
      </x:c>
      <x:c r="D80" s="65" t="str">
        <x:v>https://lollypop.design/blog/2025/june/proof-of-concept-vs-prototype-vs-mvp/</x:v>
      </x:c>
      <x:c r="E80" s="65" t="str">
        <x:v>lollypop.design</x:v>
      </x:c>
      <x:c r="F80" s="65" t="str">
        <x:v>n/a (not returned by endpoint)</x:v>
      </x:c>
    </x:row>
    <x:row r="81">
      <x:c r="A81" s="65" t="str">
        <x:v>mvp vs prototype vs poc</x:v>
      </x:c>
      <x:c r="B81" s="65" t="str">
        <x:v>8</x:v>
      </x:c>
      <x:c r="C81" s="65" t="str">
        <x:v>n/a (not returned by endpoint)</x:v>
      </x:c>
      <x:c r="D81" s="65" t="str">
        <x:v>https://appinventiv.com/blog/poc-vs-mvp-prototype-the-best-strategy/</x:v>
      </x:c>
      <x:c r="E81" s="65" t="str">
        <x:v>appinventiv.com</x:v>
      </x:c>
      <x:c r="F81" s="65" t="str">
        <x:v>n/a (not returned by endpoint)</x:v>
      </x:c>
    </x:row>
    <x:row r="82">
      <x:c r="A82" s="65" t="str">
        <x:v>mvp vs prototype vs poc</x:v>
      </x:c>
      <x:c r="B82" s="65" t="str">
        <x:v>9</x:v>
      </x:c>
      <x:c r="C82" s="65" t="str">
        <x:v>n/a (not returned by endpoint)</x:v>
      </x:c>
      <x:c r="D82" s="65" t="str">
        <x:v>https://www.linkedin.com/pulse/mvp-vs-prototype-poc-which-one-does-your-startup-actually-need-kim8e</x:v>
      </x:c>
      <x:c r="E82" s="65" t="str">
        <x:v>www.linkedin.com</x:v>
      </x:c>
      <x:c r="F82" s="65" t="str">
        <x:v>n/a (not returned by endpoint)</x:v>
      </x:c>
    </x:row>
    <x:row r="83">
      <x:c r="A83" s="65" t="str">
        <x:v>mvp vs prototype vs poc</x:v>
      </x:c>
      <x:c r="B83" s="65" t="str">
        <x:v>10</x:v>
      </x:c>
      <x:c r="C83" s="65" t="str">
        <x:v>n/a (not returned by endpoint)</x:v>
      </x:c>
      <x:c r="D83" s="65" t="str">
        <x:v>https://excited.agency/blog/poc-vs-prototype-vs-mvp</x:v>
      </x:c>
      <x:c r="E83" s="65" t="str">
        <x:v>excited.agency</x:v>
      </x:c>
      <x:c r="F83" s="65" t="str">
        <x:v>n/a (not returned by endpoint)</x:v>
      </x:c>
    </x:row>
    <x:row r="84">
      <x:c r="A84" s="65" t="str">
        <x:v>vibe coding for beginners</x:v>
      </x:c>
      <x:c r="B84" s="65" t="str">
        <x:v>1</x:v>
      </x:c>
      <x:c r="C84" s="65" t="str">
        <x:v>n/a (not returned by endpoint)</x:v>
      </x:c>
      <x:c r="D84" s="65" t="str">
        <x:v>https://www.reddit.com/r/vibecoding/comments/1n9dcog/complete_beginner_here_how_do_i_actually_start/</x:v>
      </x:c>
      <x:c r="E84" s="65" t="str">
        <x:v>www.reddit.com</x:v>
      </x:c>
      <x:c r="F84" s="65" t="str">
        <x:v>n/a (not returned by endpoint)</x:v>
      </x:c>
    </x:row>
    <x:row r="85">
      <x:c r="A85" s="65" t="str">
        <x:v>vibe coding for beginners</x:v>
      </x:c>
      <x:c r="B85" s="65" t="str">
        <x:v>2</x:v>
      </x:c>
      <x:c r="C85" s="65" t="str">
        <x:v>n/a (not returned by endpoint)</x:v>
      </x:c>
      <x:c r="D85" s="65" t="str">
        <x:v>https://learn.microsoft.com/en-us/training/modules/introduction-vibe-coding/</x:v>
      </x:c>
      <x:c r="E85" s="65" t="str">
        <x:v>learn.microsoft.com</x:v>
      </x:c>
      <x:c r="F85" s="65" t="str">
        <x:v>n/a (not returned by endpoint)</x:v>
      </x:c>
    </x:row>
    <x:row r="86">
      <x:c r="A86" s="65" t="str">
        <x:v>vibe coding for beginners</x:v>
      </x:c>
      <x:c r="B86" s="65" t="str">
        <x:v>3</x:v>
      </x:c>
      <x:c r="C86" s="65" t="str">
        <x:v>n/a (not returned by endpoint)</x:v>
      </x:c>
      <x:c r="D86" s="65" t="str">
        <x:v>https://thenewstack.io/beginners-guide-to-vibe-coding/</x:v>
      </x:c>
      <x:c r="E86" s="65" t="str">
        <x:v>thenewstack.io</x:v>
      </x:c>
      <x:c r="F86" s="65" t="str">
        <x:v>n/a (not returned by endpoint)</x:v>
      </x:c>
    </x:row>
    <x:row r="87">
      <x:c r="A87" s="65" t="str">
        <x:v>vibe coding for beginners</x:v>
      </x:c>
      <x:c r="B87" s="65" t="str">
        <x:v>4</x:v>
      </x:c>
      <x:c r="C87" s="65" t="str">
        <x:v>n/a (not returned by endpoint)</x:v>
      </x:c>
      <x:c r="D87" s="65" t="str">
        <x:v>https://www.coursera.org/learn/vibe-coding-for-beginners-from-zero-to-app</x:v>
      </x:c>
      <x:c r="E87" s="65" t="str">
        <x:v>www.coursera.org</x:v>
      </x:c>
      <x:c r="F87" s="65" t="str">
        <x:v>n/a (not returned by endpoint)</x:v>
      </x:c>
    </x:row>
    <x:row r="88">
      <x:c r="A88" s="65" t="str">
        <x:v>vibe coding for beginners</x:v>
      </x:c>
      <x:c r="B88" s="65" t="str">
        <x:v>5</x:v>
      </x:c>
      <x:c r="C88" s="65" t="str">
        <x:v>n/a (not returned by endpoint)</x:v>
      </x:c>
      <x:c r="D88" s="65" t="str">
        <x:v>https://www.youtube.com/watch?v=8AWEPx5cHWQ</x:v>
      </x:c>
      <x:c r="E88" s="65" t="str">
        <x:v>www.youtube.com</x:v>
      </x:c>
      <x:c r="F88" s="65" t="str">
        <x:v>n/a (not returned by endpoint)</x:v>
      </x:c>
    </x:row>
    <x:row r="89">
      <x:c r="A89" s="65" t="str">
        <x:v>vibe coding for beginners</x:v>
      </x:c>
      <x:c r="B89" s="65" t="str">
        <x:v>6</x:v>
      </x:c>
      <x:c r="C89" s="65" t="str">
        <x:v>n/a (not returned by endpoint)</x:v>
      </x:c>
      <x:c r="D89" s="65" t="str">
        <x:v>https://www.datacamp.com/blog/vibe-coding-guide-for-beginners</x:v>
      </x:c>
      <x:c r="E89" s="65" t="str">
        <x:v>www.datacamp.com</x:v>
      </x:c>
      <x:c r="F89" s="65" t="str">
        <x:v>n/a (not returned by endpoint)</x:v>
      </x:c>
    </x:row>
    <x:row r="90">
      <x:c r="A90" s="65" t="str">
        <x:v>vibe coding for beginners</x:v>
      </x:c>
      <x:c r="B90" s="65" t="str">
        <x:v>7</x:v>
      </x:c>
      <x:c r="C90" s="65" t="str">
        <x:v>n/a (not returned by endpoint)</x:v>
      </x:c>
      <x:c r="D90" s="65" t="str">
        <x:v>https://www.codecademy.com/learn/intro-to-vibe-coding</x:v>
      </x:c>
      <x:c r="E90" s="65" t="str">
        <x:v>www.codecademy.com</x:v>
      </x:c>
      <x:c r="F90" s="65" t="str">
        <x:v>n/a (not returned by endpoint)</x:v>
      </x:c>
    </x:row>
    <x:row r="91">
      <x:c r="A91" s="65" t="str">
        <x:v>vibe coding for beginners</x:v>
      </x:c>
      <x:c r="B91" s="65" t="str">
        <x:v>8</x:v>
      </x:c>
      <x:c r="C91" s="65" t="str">
        <x:v>n/a (not returned by endpoint)</x:v>
      </x:c>
      <x:c r="D91" s="65" t="str">
        <x:v>https://www.anything.com/blog/vibe-coding-tutorial</x:v>
      </x:c>
      <x:c r="E91" s="65" t="str">
        <x:v>www.anything.com</x:v>
      </x:c>
      <x:c r="F91" s="65" t="str">
        <x:v>n/a (not returned by endpoint)</x:v>
      </x:c>
    </x:row>
    <x:row r="92">
      <x:c r="A92" s="65" t="str">
        <x:v>vibe coding for beginners</x:v>
      </x:c>
      <x:c r="B92" s="65" t="str">
        <x:v>9</x:v>
      </x:c>
      <x:c r="C92" s="65" t="str">
        <x:v>n/a (not returned by endpoint)</x:v>
      </x:c>
      <x:c r="D92" s="65" t="str">
        <x:v>https://base44.com/blog/vibe-coding-for-beginners</x:v>
      </x:c>
      <x:c r="E92" s="65" t="str">
        <x:v>base44.com</x:v>
      </x:c>
      <x:c r="F92" s="65" t="str">
        <x:v>n/a (not returned by endpoint)</x:v>
      </x:c>
    </x:row>
    <x:row r="93">
      <x:c r="A93" s="65" t="str">
        <x:v>vibe coding for beginners</x:v>
      </x:c>
      <x:c r="B93" s="65" t="str">
        <x:v>10</x:v>
      </x:c>
      <x:c r="C93" s="65" t="str">
        <x:v>n/a (not returned by endpoint)</x:v>
      </x:c>
      <x:c r="D93" s="65" t="str">
        <x:v>https://medium.com/@rajandube/getting-started-with-vibe-coding-beginners-guide-add1b4803296</x:v>
      </x:c>
      <x:c r="E93" s="65" t="str">
        <x:v>medium.com</x:v>
      </x:c>
      <x:c r="F93" s="65" t="str">
        <x:v>n/a (not returned by endpoint)</x:v>
      </x:c>
    </x:row>
    <x:row r="94">
      <x:c r="A94" s="65" t="str">
        <x:v>how does vibe coding work</x:v>
      </x:c>
      <x:c r="B94" s="65" t="str">
        <x:v>1</x:v>
      </x:c>
      <x:c r="C94" s="65" t="str">
        <x:v>n/a (not returned by endpoint)</x:v>
      </x:c>
      <x:c r="D94" s="65" t="str">
        <x:v>https://www.reddit.com/r/vibecoding/comments/1mfbyah/experienced_developers_what_has_your_experience/</x:v>
      </x:c>
      <x:c r="E94" s="65" t="str">
        <x:v>www.reddit.com</x:v>
      </x:c>
      <x:c r="F94" s="65" t="str">
        <x:v>n/a (not returned by endpoint)</x:v>
      </x:c>
    </x:row>
    <x:row r="95">
      <x:c r="A95" s="65" t="str">
        <x:v>how does vibe coding work</x:v>
      </x:c>
      <x:c r="B95" s="65" t="str">
        <x:v>2</x:v>
      </x:c>
      <x:c r="C95" s="65" t="str">
        <x:v>n/a (not returned by endpoint)</x:v>
      </x:c>
      <x:c r="D95" s="65" t="str">
        <x:v>https://www.ibm.com/think/topics/vibe-coding</x:v>
      </x:c>
      <x:c r="E95" s="65" t="str">
        <x:v>www.ibm.com</x:v>
      </x:c>
      <x:c r="F95" s="65" t="str">
        <x:v>n/a (not returned by endpoint)</x:v>
      </x:c>
    </x:row>
    <x:row r="96">
      <x:c r="A96" s="65" t="str">
        <x:v>how does vibe coding work</x:v>
      </x:c>
      <x:c r="B96" s="65" t="str">
        <x:v>3</x:v>
      </x:c>
      <x:c r="C96" s="65" t="str">
        <x:v>n/a (not returned by endpoint)</x:v>
      </x:c>
      <x:c r="D96" s="65" t="str">
        <x:v>https://dev.to/erikch/what-i-learned-vibe-coding-30em</x:v>
      </x:c>
      <x:c r="E96" s="65" t="str">
        <x:v>dev.to</x:v>
      </x:c>
      <x:c r="F96" s="65" t="str">
        <x:v>n/a (not returned by endpoint)</x:v>
      </x:c>
    </x:row>
    <x:row r="97">
      <x:c r="A97" s="65" t="str">
        <x:v>how does vibe coding work</x:v>
      </x:c>
      <x:c r="B97" s="65" t="str">
        <x:v>4</x:v>
      </x:c>
      <x:c r="C97" s="65" t="str">
        <x:v>n/a (not returned by endpoint)</x:v>
      </x:c>
      <x:c r="D97" s="65" t="str">
        <x:v>https://en.wikipedia.org/wiki/Vibe_coding</x:v>
      </x:c>
      <x:c r="E97" s="65" t="str">
        <x:v>en.wikipedia.org</x:v>
      </x:c>
      <x:c r="F97" s="65" t="str">
        <x:v>n/a (not returned by endpoint)</x:v>
      </x:c>
    </x:row>
    <x:row r="98">
      <x:c r="A98" s="65" t="str">
        <x:v>how does vibe coding work</x:v>
      </x:c>
      <x:c r="B98" s="65" t="str">
        <x:v>5</x:v>
      </x:c>
      <x:c r="C98" s="65" t="str">
        <x:v>n/a (not returned by endpoint)</x:v>
      </x:c>
      <x:c r="D98" s="65" t="str">
        <x:v>https://replit.com/blog/what-is-vibe-coding</x:v>
      </x:c>
      <x:c r="E98" s="65" t="str">
        <x:v>replit.com</x:v>
      </x:c>
      <x:c r="F98" s="65" t="str">
        <x:v>n/a (not returned by endpoint)</x:v>
      </x:c>
    </x:row>
    <x:row r="99">
      <x:c r="A99" s="65" t="str">
        <x:v>how does vibe coding work</x:v>
      </x:c>
      <x:c r="B99" s="65" t="str">
        <x:v>6</x:v>
      </x:c>
      <x:c r="C99" s="65" t="str">
        <x:v>n/a (not returned by endpoint)</x:v>
      </x:c>
      <x:c r="D99" s="65" t="str">
        <x:v>https://medium.com/google-cloud/taming-vibe-coding-the-engineers-guide-fff70b6d807a</x:v>
      </x:c>
      <x:c r="E99" s="65" t="str">
        <x:v>medium.com</x:v>
      </x:c>
      <x:c r="F99" s="65" t="str">
        <x:v>n/a (not returned by endpoint)</x:v>
      </x:c>
    </x:row>
    <x:row r="100">
      <x:c r="A100" s="65" t="str">
        <x:v>how does vibe coding work</x:v>
      </x:c>
      <x:c r="B100" s="65" t="str">
        <x:v>7</x:v>
      </x:c>
      <x:c r="C100" s="65" t="str">
        <x:v>n/a (not returned by endpoint)</x:v>
      </x:c>
      <x:c r="D100" s="65" t="str">
        <x:v>https://www.xda-developers.com/used-vibe-coding-to-learn-programming-worked-better-than-any-course/</x:v>
      </x:c>
      <x:c r="E100" s="65" t="str">
        <x:v>www.xda-developers.com</x:v>
      </x:c>
      <x:c r="F100" s="65" t="str">
        <x:v>n/a (not returned by endpoint)</x:v>
      </x:c>
    </x:row>
    <x:row r="101">
      <x:c r="A101" s="65" t="str">
        <x:v>how does vibe coding work</x:v>
      </x:c>
      <x:c r="B101" s="65" t="str">
        <x:v>8</x:v>
      </x:c>
      <x:c r="C101" s="65" t="str">
        <x:v>n/a (not returned by endpoint)</x:v>
      </x:c>
      <x:c r="D101" s="65" t="str">
        <x:v>https://joget.com/vibe-coding-explained-how-it-works-benefits-and-hidden-risks/</x:v>
      </x:c>
      <x:c r="E101" s="65" t="str">
        <x:v>joget.com</x:v>
      </x:c>
      <x:c r="F101" s="65" t="str">
        <x:v>n/a (not returned by endpoint)</x:v>
      </x:c>
    </x:row>
    <x:row r="102">
      <x:c r="A102" s="65" t="str">
        <x:v>how does vibe coding work</x:v>
      </x:c>
      <x:c r="B102" s="65" t="str">
        <x:v>9</x:v>
      </x:c>
      <x:c r="C102" s="65" t="str">
        <x:v>n/a (not returned by endpoint)</x:v>
      </x:c>
      <x:c r="D102" s="65" t="str">
        <x:v>https://decision.substack.com/p/what-is-vibe-coding-and-how-do-you</x:v>
      </x:c>
      <x:c r="E102" s="65" t="str">
        <x:v>decision.substack.com</x:v>
      </x:c>
      <x:c r="F102" s="65" t="str">
        <x:v>n/a (not returned by endpoint)</x:v>
      </x:c>
    </x:row>
    <x:row r="103">
      <x:c r="A103" s="65" t="str">
        <x:v>how does vibe coding work</x:v>
      </x:c>
      <x:c r="B103" s="65" t="str">
        <x:v>10</x:v>
      </x:c>
      <x:c r="C103" s="65" t="str">
        <x:v>n/a (not returned by endpoint)</x:v>
      </x:c>
      <x:c r="D103" s="65" t="str">
        <x:v>https://www.youtube.com/watch?v=8AWEPx5cHWQ</x:v>
      </x:c>
      <x:c r="E103" s="65" t="str">
        <x:v>www.youtube.com</x:v>
      </x:c>
      <x:c r="F103" s="65" t="str">
        <x:v>n/a (not returned by endpoint)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8d558f28fe3a4491"/>
  </x:tableParts>
</x:worksheet>
</file>